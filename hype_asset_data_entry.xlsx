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pdate" sheetId="3" state="visible" r:id="rId3"/>
  </sheets>
  <definedNames>
    <definedName name="_xlnm._FilterDatabase" localSheetId="0" hidden="1">'Data Entry'!$A$3:$P$109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C8F7D5"/>
        <bgColor rgb="00C8F7D5"/>
      </patternFill>
    </fill>
    <fill>
      <patternFill patternType="solid">
        <fgColor rgb="00D1ECF1"/>
        <bgColor rgb="00D1ECF1"/>
      </patternFill>
    </fill>
    <fill>
      <patternFill patternType="solid">
        <fgColor rgb="00FFF3CD"/>
        <bgColor rgb="00FFF3CD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166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/>
    </xf>
    <xf numFmtId="165" fontId="4" fillId="6" borderId="1" applyAlignment="1" pivotButton="0" quotePrefix="0" xfId="0">
      <alignment vertical="center"/>
    </xf>
    <xf numFmtId="166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1" fillId="2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8" customWidth="1" min="4" max="4"/>
    <col width="13" customWidth="1" min="5" max="5"/>
    <col width="11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  <col width="14" customWidth="1" min="12" max="12"/>
    <col width="62" customWidth="1" min="13" max="13"/>
    <col width="24" customWidth="1" min="14" max="14"/>
    <col width="17" customWidth="1" min="15" max="15"/>
    <col width="10" customWidth="1" min="16" max="16"/>
  </cols>
  <sheetData>
    <row r="1" ht="32" customHeight="1">
      <c r="A1" s="1" t="inlineStr">
        <is>
          <t>HYPE ASSET INDEX — DATA ENTRY SHEET</t>
        </is>
      </c>
    </row>
    <row r="2" ht="18" customHeight="1">
      <c r="A2" s="2" t="inlineStr">
        <is>
          <t>🟢 Green = Verified StockX data    🔵 Blue = Low volume (real price, few sales)    🟡 Yellow = Needs data    |    Edit columns G–M with real numbers from StockX</t>
        </is>
      </c>
    </row>
    <row r="3" ht="28" customHeight="1">
      <c r="A3" s="3" t="inlineStr">
        <is>
          <t>Status</t>
        </is>
      </c>
      <c r="B3" s="3" t="inlineStr">
        <is>
          <t>Item</t>
        </is>
      </c>
      <c r="C3" s="3" t="inlineStr">
        <is>
          <t>Category</t>
        </is>
      </c>
      <c r="D3" s="3" t="inlineStr">
        <is>
          <t>Brand</t>
        </is>
      </c>
      <c r="E3" s="3" t="inlineStr">
        <is>
          <t>Release Year</t>
        </is>
      </c>
      <c r="F3" s="3" t="inlineStr">
        <is>
          <t>Retail ($)</t>
        </is>
      </c>
      <c r="G3" s="3" t="inlineStr">
        <is>
          <t>Last Sale ($)</t>
        </is>
      </c>
      <c r="H3" s="3" t="inlineStr">
        <is>
          <t>Price Low ($)</t>
        </is>
      </c>
      <c r="I3" s="3" t="inlineStr">
        <is>
          <t>Price High ($)</t>
        </is>
      </c>
      <c r="J3" s="3" t="inlineStr">
        <is>
          <t>Sales Volume</t>
        </is>
      </c>
      <c r="K3" s="3" t="inlineStr">
        <is>
          <t>Volatility %</t>
        </is>
      </c>
      <c r="L3" s="3" t="inlineStr">
        <is>
          <t>Scarcity Score</t>
        </is>
      </c>
      <c r="M3" s="3" t="inlineStr">
        <is>
          <t>StockX URL</t>
        </is>
      </c>
      <c r="N3" s="3" t="inlineStr">
        <is>
          <t>Source Notes</t>
        </is>
      </c>
      <c r="O3" s="3" t="inlineStr">
        <is>
          <t>Annualized Return</t>
        </is>
      </c>
      <c r="P3" s="3" t="inlineStr">
        <is>
          <t>✓ Done?</t>
        </is>
      </c>
    </row>
    <row r="4" ht="20" customHeight="1">
      <c r="A4" s="4" t="inlineStr">
        <is>
          <t>✅ Verified</t>
        </is>
      </c>
      <c r="B4" s="5" t="inlineStr">
        <is>
          <t>Chrome Hearts CH Hollywood Trucker Hat Black Black</t>
        </is>
      </c>
      <c r="C4" s="4" t="inlineStr">
        <is>
          <t>Luxury Streetwear</t>
        </is>
      </c>
      <c r="D4" s="4" t="inlineStr">
        <is>
          <t>Chrome Hearts</t>
        </is>
      </c>
      <c r="E4" s="4" t="n">
        <v>2021</v>
      </c>
      <c r="F4" s="6" t="n">
        <v>275</v>
      </c>
      <c r="G4" s="6" t="n">
        <v>551</v>
      </c>
      <c r="H4" s="6" t="n">
        <v>402</v>
      </c>
      <c r="I4" s="6" t="n">
        <v>794</v>
      </c>
      <c r="J4" s="4" t="n">
        <v>25</v>
      </c>
      <c r="K4" s="7" t="n">
        <v>15</v>
      </c>
      <c r="L4" s="4" t="n">
        <v>74</v>
      </c>
      <c r="M4" s="5" t="inlineStr">
        <is>
          <t>https://stockx.com/chrome-hearts-ch-hollywood-trucker-hat-black-black</t>
        </is>
      </c>
      <c r="N4" s="5" t="inlineStr">
        <is>
          <t>StockX 3M market data</t>
        </is>
      </c>
      <c r="O4" s="8">
        <f>IFERROR((G4/F4)^(1/MAX(2026-E4,0.5))-1,"")</f>
        <v/>
      </c>
      <c r="P4" s="9" t="inlineStr">
        <is>
          <t>YES</t>
        </is>
      </c>
    </row>
    <row r="5" ht="20" customHeight="1">
      <c r="A5" s="4" t="inlineStr">
        <is>
          <t>✅ Verified</t>
        </is>
      </c>
      <c r="B5" s="5" t="inlineStr">
        <is>
          <t>Chrome Hearts Cemetery Cross Zip Hoodie Black</t>
        </is>
      </c>
      <c r="C5" s="4" t="inlineStr">
        <is>
          <t>Luxury Streetwear</t>
        </is>
      </c>
      <c r="D5" s="4" t="inlineStr">
        <is>
          <t>Chrome Hearts</t>
        </is>
      </c>
      <c r="E5" s="4" t="n">
        <v>2020</v>
      </c>
      <c r="F5" s="6" t="n">
        <v>875</v>
      </c>
      <c r="G5" s="6" t="n">
        <v>2999</v>
      </c>
      <c r="H5" s="6" t="n">
        <v>875</v>
      </c>
      <c r="I5" s="6" t="n">
        <v>4505</v>
      </c>
      <c r="J5" s="4" t="n">
        <v>5</v>
      </c>
      <c r="K5" s="7" t="n">
        <v>30</v>
      </c>
      <c r="L5" s="4" t="n">
        <v>88</v>
      </c>
      <c r="M5" s="5" t="inlineStr">
        <is>
          <t>https://stockx.com/chrome-hearts-multi-color-cross-cemetery-zip-up-hoodie-black</t>
        </is>
      </c>
      <c r="N5" s="5" t="inlineStr">
        <is>
          <t>StockX real data (collected June 2026)</t>
        </is>
      </c>
      <c r="O5" s="8">
        <f>IFERROR((G5/F5)^(1/MAX(2026-E5,0.5))-1,"")</f>
        <v/>
      </c>
      <c r="P5" s="9" t="inlineStr">
        <is>
          <t>YES</t>
        </is>
      </c>
    </row>
    <row r="6" ht="20" customHeight="1">
      <c r="A6" s="4" t="inlineStr">
        <is>
          <t>✅ Verified</t>
        </is>
      </c>
      <c r="B6" s="5" t="inlineStr">
        <is>
          <t>Chrome Hearts Horseshoe Hoodie Black</t>
        </is>
      </c>
      <c r="C6" s="4" t="inlineStr">
        <is>
          <t>Luxury Streetwear</t>
        </is>
      </c>
      <c r="D6" s="4" t="inlineStr">
        <is>
          <t>Chrome Hearts</t>
        </is>
      </c>
      <c r="E6" s="4" t="n">
        <v>2020</v>
      </c>
      <c r="F6" s="6" t="n">
        <v>900</v>
      </c>
      <c r="G6" s="6" t="n">
        <v>2355</v>
      </c>
      <c r="H6" s="6" t="n">
        <v>900</v>
      </c>
      <c r="I6" s="6" t="n">
        <v>3500</v>
      </c>
      <c r="J6" s="4" t="n">
        <v>50</v>
      </c>
      <c r="K6" s="7" t="n">
        <v>30</v>
      </c>
      <c r="L6" s="4" t="n">
        <v>76</v>
      </c>
      <c r="M6" s="5" t="inlineStr">
        <is>
          <t>https://stockx.com/chrome-hearts-horseshoe-floral-cross-sleeve-zip-up-hoodie-black-white</t>
        </is>
      </c>
      <c r="N6" s="5" t="inlineStr">
        <is>
          <t>StockX real data (collected June 2026)</t>
        </is>
      </c>
      <c r="O6" s="8">
        <f>IFERROR((G6/F6)^(1/MAX(2026-E6,0.5))-1,"")</f>
        <v/>
      </c>
      <c r="P6" s="9" t="inlineStr">
        <is>
          <t>YES</t>
        </is>
      </c>
    </row>
    <row r="7" ht="20" customHeight="1">
      <c r="A7" s="4" t="inlineStr">
        <is>
          <t>✅ Verified</t>
        </is>
      </c>
      <c r="B7" s="5" t="inlineStr">
        <is>
          <t>Chrome Hearts Matty Boy Hoodie Black</t>
        </is>
      </c>
      <c r="C7" s="4" t="inlineStr">
        <is>
          <t>Luxury Streetwear</t>
        </is>
      </c>
      <c r="D7" s="4" t="inlineStr">
        <is>
          <t>Chrome Hearts</t>
        </is>
      </c>
      <c r="E7" s="4" t="n">
        <v>2021</v>
      </c>
      <c r="F7" s="6" t="n">
        <v>875</v>
      </c>
      <c r="G7" s="6" t="n">
        <v>1225</v>
      </c>
      <c r="H7" s="6" t="n">
        <v>875</v>
      </c>
      <c r="I7" s="6" t="n">
        <v>1500</v>
      </c>
      <c r="J7" s="4" t="n">
        <v>8</v>
      </c>
      <c r="K7" s="7" t="n">
        <v>28</v>
      </c>
      <c r="L7" s="4" t="n">
        <v>82</v>
      </c>
      <c r="M7" s="5" t="inlineStr">
        <is>
          <t>https://stockx.com/chrome-hearts-matty-boy-stay-fast-hoodie-black</t>
        </is>
      </c>
      <c r="N7" s="5" t="inlineStr">
        <is>
          <t>StockX real data (collected June 2026)</t>
        </is>
      </c>
      <c r="O7" s="8">
        <f>IFERROR((G7/F7)^(1/MAX(2026-E7,0.5))-1,"")</f>
        <v/>
      </c>
      <c r="P7" s="9" t="inlineStr">
        <is>
          <t>YES</t>
        </is>
      </c>
    </row>
    <row r="8" ht="20" customHeight="1">
      <c r="A8" s="4" t="inlineStr">
        <is>
          <t>✅ Verified</t>
        </is>
      </c>
      <c r="B8" s="5" t="inlineStr">
        <is>
          <t>Chrome Hearts Trucker Hat Black</t>
        </is>
      </c>
      <c r="C8" s="4" t="inlineStr">
        <is>
          <t>Luxury Streetwear</t>
        </is>
      </c>
      <c r="D8" s="4" t="inlineStr">
        <is>
          <t>Chrome Hearts</t>
        </is>
      </c>
      <c r="E8" s="4" t="n">
        <v>2021</v>
      </c>
      <c r="F8" s="6" t="n">
        <v>245</v>
      </c>
      <c r="G8" s="6" t="n">
        <v>500</v>
      </c>
      <c r="H8" s="6" t="n">
        <v>245</v>
      </c>
      <c r="I8" s="6" t="n">
        <v>596</v>
      </c>
      <c r="J8" s="4" t="n">
        <v>20</v>
      </c>
      <c r="K8" s="7" t="n">
        <v>26</v>
      </c>
      <c r="L8" s="4" t="n">
        <v>72</v>
      </c>
      <c r="M8" s="5" t="inlineStr">
        <is>
          <t>https://stockx.com/chrome-hearts-ch-hollywood-trucker-hat-black-black</t>
        </is>
      </c>
      <c r="N8" s="5" t="inlineStr">
        <is>
          <t>StockX real data (collected June 2026)</t>
        </is>
      </c>
      <c r="O8" s="8">
        <f>IFERROR((G8/F8)^(1/MAX(2026-E8,0.5))-1,"")</f>
        <v/>
      </c>
      <c r="P8" s="9" t="inlineStr">
        <is>
          <t>YES</t>
        </is>
      </c>
    </row>
    <row r="9" ht="20" customHeight="1">
      <c r="A9" s="4" t="inlineStr">
        <is>
          <t>✅ Verified</t>
        </is>
      </c>
      <c r="B9" s="5" t="inlineStr">
        <is>
          <t>Gallery Dept. Flare Sweatpants Black</t>
        </is>
      </c>
      <c r="C9" s="4" t="inlineStr">
        <is>
          <t>Luxury Streetwear</t>
        </is>
      </c>
      <c r="D9" s="4" t="inlineStr">
        <is>
          <t>Gallery Dept.</t>
        </is>
      </c>
      <c r="E9" s="4" t="n">
        <v>2021</v>
      </c>
      <c r="F9" s="6" t="n">
        <v>965</v>
      </c>
      <c r="G9" s="6" t="n">
        <v>475</v>
      </c>
      <c r="H9" s="6" t="n">
        <v>348</v>
      </c>
      <c r="I9" s="6" t="n">
        <v>975</v>
      </c>
      <c r="J9" s="4" t="n">
        <v>6</v>
      </c>
      <c r="K9" s="7" t="n">
        <v>26</v>
      </c>
      <c r="L9" s="4" t="n">
        <v>60</v>
      </c>
      <c r="M9" s="5" t="inlineStr">
        <is>
          <t>https://stockx.com/gallery-dept-painted-flare-sweat-pants-washed-black</t>
        </is>
      </c>
      <c r="N9" s="5" t="inlineStr">
        <is>
          <t>StockX real data (collected June 2026)</t>
        </is>
      </c>
      <c r="O9" s="8">
        <f>IFERROR((G9/F9)^(1/MAX(2026-E9,0.5))-1,"")</f>
        <v/>
      </c>
      <c r="P9" s="9" t="inlineStr">
        <is>
          <t>YES</t>
        </is>
      </c>
    </row>
    <row r="10" ht="20" customHeight="1">
      <c r="A10" s="4" t="inlineStr">
        <is>
          <t>✅ Verified</t>
        </is>
      </c>
      <c r="B10" s="5" t="inlineStr">
        <is>
          <t>Gallery Dept. French Logo Hoodie</t>
        </is>
      </c>
      <c r="C10" s="4" t="inlineStr">
        <is>
          <t>Luxury Streetwear</t>
        </is>
      </c>
      <c r="D10" s="4" t="inlineStr">
        <is>
          <t>Gallery Dept.</t>
        </is>
      </c>
      <c r="E10" s="4" t="n">
        <v>2021</v>
      </c>
      <c r="F10" s="6" t="n">
        <v>595</v>
      </c>
      <c r="G10" s="6" t="n">
        <v>399</v>
      </c>
      <c r="H10" s="6" t="n">
        <v>254</v>
      </c>
      <c r="I10" s="6" t="n">
        <v>975</v>
      </c>
      <c r="J10" s="4" t="n">
        <v>7</v>
      </c>
      <c r="K10" s="7" t="n">
        <v>24</v>
      </c>
      <c r="L10" s="4" t="n">
        <v>58</v>
      </c>
      <c r="M10" s="5" t="inlineStr">
        <is>
          <t>https://stockx.com/gallery-dept-french-logo-hoodie</t>
        </is>
      </c>
      <c r="N10" s="5" t="inlineStr">
        <is>
          <t>StockX real data (collected June 2026)</t>
        </is>
      </c>
      <c r="O10" s="8">
        <f>IFERROR((G10/F10)^(1/MAX(2026-E10,0.5))-1,"")</f>
        <v/>
      </c>
      <c r="P10" s="9" t="inlineStr">
        <is>
          <t>YES</t>
        </is>
      </c>
    </row>
    <row r="11" ht="20" customHeight="1">
      <c r="A11" s="4" t="inlineStr">
        <is>
          <t>✅ Verified</t>
        </is>
      </c>
      <c r="B11" s="5" t="inlineStr">
        <is>
          <t>Gallery Dept. Souvenir Tee White</t>
        </is>
      </c>
      <c r="C11" s="4" t="inlineStr">
        <is>
          <t>Luxury Streetwear</t>
        </is>
      </c>
      <c r="D11" s="4" t="inlineStr">
        <is>
          <t>Gallery Dept.</t>
        </is>
      </c>
      <c r="E11" s="4" t="n">
        <v>2025</v>
      </c>
      <c r="F11" s="6" t="n">
        <v>250</v>
      </c>
      <c r="G11" s="6" t="n">
        <v>109</v>
      </c>
      <c r="H11" s="6" t="n">
        <v>50</v>
      </c>
      <c r="I11" s="6" t="n">
        <v>275</v>
      </c>
      <c r="J11" s="4" t="n">
        <v>10</v>
      </c>
      <c r="K11" s="7" t="n">
        <v>28</v>
      </c>
      <c r="L11" s="4" t="n">
        <v>46</v>
      </c>
      <c r="M11" s="5" t="inlineStr">
        <is>
          <t>https://stockx.com/gallery-dept-souvenir-tee-white</t>
        </is>
      </c>
      <c r="N11" s="5" t="inlineStr">
        <is>
          <t>StockX real data (collected June 2026)</t>
        </is>
      </c>
      <c r="O11" s="8">
        <f>IFERROR((G11/F11)^(1/MAX(2026-E11,0.5))-1,"")</f>
        <v/>
      </c>
      <c r="P11" s="9" t="inlineStr">
        <is>
          <t>YES</t>
        </is>
      </c>
    </row>
    <row r="12" ht="20" customHeight="1">
      <c r="A12" s="4" t="inlineStr">
        <is>
          <t>✅ Verified</t>
        </is>
      </c>
      <c r="B12" s="5" t="inlineStr">
        <is>
          <t>Adidas Samba Wales Bonner Silver</t>
        </is>
      </c>
      <c r="C12" s="4" t="inlineStr">
        <is>
          <t>Sneaker</t>
        </is>
      </c>
      <c r="D12" s="4" t="inlineStr">
        <is>
          <t>Adidas</t>
        </is>
      </c>
      <c r="E12" s="4" t="n">
        <v>2023</v>
      </c>
      <c r="F12" s="6" t="n">
        <v>200</v>
      </c>
      <c r="G12" s="6" t="n">
        <v>398</v>
      </c>
      <c r="H12" s="6" t="n">
        <v>200</v>
      </c>
      <c r="I12" s="6" t="n">
        <v>504</v>
      </c>
      <c r="J12" s="4" t="n">
        <v>120</v>
      </c>
      <c r="K12" s="7" t="n">
        <v>22</v>
      </c>
      <c r="L12" s="4" t="n">
        <v>72</v>
      </c>
      <c r="M12" s="5" t="inlineStr">
        <is>
          <t>https://stockx.com/adidas-samba-wales-bonner-silver</t>
        </is>
      </c>
      <c r="N12" s="5" t="inlineStr">
        <is>
          <t>StockX real data (collected June 2026)</t>
        </is>
      </c>
      <c r="O12" s="8">
        <f>IFERROR((G12/F12)^(1/MAX(2026-E12,0.5))-1,"")</f>
        <v/>
      </c>
      <c r="P12" s="9" t="inlineStr">
        <is>
          <t>YES</t>
        </is>
      </c>
    </row>
    <row r="13" ht="20" customHeight="1">
      <c r="A13" s="4" t="inlineStr">
        <is>
          <t>✅ Verified</t>
        </is>
      </c>
      <c r="B13" s="5" t="inlineStr">
        <is>
          <t>Air Jordan 1 High OG Lost and Found</t>
        </is>
      </c>
      <c r="C13" s="4" t="inlineStr">
        <is>
          <t>Sneaker</t>
        </is>
      </c>
      <c r="D13" s="4" t="inlineStr">
        <is>
          <t>Jordan</t>
        </is>
      </c>
      <c r="E13" s="4" t="n">
        <v>2022</v>
      </c>
      <c r="F13" s="6" t="n">
        <v>180</v>
      </c>
      <c r="G13" s="6" t="n">
        <v>283</v>
      </c>
      <c r="H13" s="6" t="n">
        <v>131</v>
      </c>
      <c r="I13" s="6" t="n">
        <v>439</v>
      </c>
      <c r="J13" s="4" t="n">
        <v>1104</v>
      </c>
      <c r="K13" s="7" t="n">
        <v>12</v>
      </c>
      <c r="L13" s="4" t="n">
        <v>78</v>
      </c>
      <c r="M13" s="5" t="inlineStr">
        <is>
          <t>https://stockx.com/air-jordan-1-retro-high-og-chicago-reimagined-lost-and-found</t>
        </is>
      </c>
      <c r="N13" s="5" t="inlineStr">
        <is>
          <t>StockX 3M market data + user recent sales sample</t>
        </is>
      </c>
      <c r="O13" s="8">
        <f>IFERROR((G13/F13)^(1/MAX(2026-E13,0.5))-1,"")</f>
        <v/>
      </c>
      <c r="P13" s="9" t="inlineStr">
        <is>
          <t>YES</t>
        </is>
      </c>
    </row>
    <row r="14" ht="20" customHeight="1">
      <c r="A14" s="4" t="inlineStr">
        <is>
          <t>✅ Verified</t>
        </is>
      </c>
      <c r="B14" s="5" t="inlineStr">
        <is>
          <t>Air Jordan 11 Gratitude</t>
        </is>
      </c>
      <c r="C14" s="4" t="inlineStr">
        <is>
          <t>Sneaker</t>
        </is>
      </c>
      <c r="D14" s="4" t="inlineStr">
        <is>
          <t>Jordan</t>
        </is>
      </c>
      <c r="E14" s="4" t="n">
        <v>2023</v>
      </c>
      <c r="F14" s="6" t="n">
        <v>230</v>
      </c>
      <c r="G14" s="6" t="n">
        <v>217</v>
      </c>
      <c r="H14" s="6" t="n">
        <v>75</v>
      </c>
      <c r="I14" s="6" t="n">
        <v>264</v>
      </c>
      <c r="J14" s="4" t="n">
        <v>1700</v>
      </c>
      <c r="K14" s="7" t="n">
        <v>13</v>
      </c>
      <c r="L14" s="4" t="n">
        <v>58</v>
      </c>
      <c r="M14" s="5" t="inlineStr">
        <is>
          <t>https://stockx.com/air-jordan-11-retro-gratitude</t>
        </is>
      </c>
      <c r="N14" s="5" t="inlineStr">
        <is>
          <t>StockX real data (collected June 2026)</t>
        </is>
      </c>
      <c r="O14" s="8">
        <f>IFERROR((G14/F14)^(1/MAX(2026-E14,0.5))-1,"")</f>
        <v/>
      </c>
      <c r="P14" s="9" t="inlineStr">
        <is>
          <t>YES</t>
        </is>
      </c>
    </row>
    <row r="15" ht="20" customHeight="1">
      <c r="A15" s="4" t="inlineStr">
        <is>
          <t>✅ Verified</t>
        </is>
      </c>
      <c r="B15" s="5" t="inlineStr">
        <is>
          <t>Air Jordan 3 White Cement Reimagined</t>
        </is>
      </c>
      <c r="C15" s="4" t="inlineStr">
        <is>
          <t>Sneaker</t>
        </is>
      </c>
      <c r="D15" s="4" t="inlineStr">
        <is>
          <t>Jordan</t>
        </is>
      </c>
      <c r="E15" s="4" t="n">
        <v>2023</v>
      </c>
      <c r="F15" s="6" t="n">
        <v>210</v>
      </c>
      <c r="G15" s="6" t="n">
        <v>272</v>
      </c>
      <c r="H15" s="6" t="n">
        <v>117</v>
      </c>
      <c r="I15" s="6" t="n">
        <v>287</v>
      </c>
      <c r="J15" s="4" t="n">
        <v>900</v>
      </c>
      <c r="K15" s="7" t="n">
        <v>17</v>
      </c>
      <c r="L15" s="4" t="n">
        <v>68</v>
      </c>
      <c r="M15" s="5" t="inlineStr">
        <is>
          <t>https://stockx.com/air-jordan-3-retro-white-cement-reimagined</t>
        </is>
      </c>
      <c r="N15" s="5" t="inlineStr">
        <is>
          <t>StockX real data (collected June 2026)</t>
        </is>
      </c>
      <c r="O15" s="8">
        <f>IFERROR((G15/F15)^(1/MAX(2026-E15,0.5))-1,"")</f>
        <v/>
      </c>
      <c r="P15" s="9" t="inlineStr">
        <is>
          <t>YES</t>
        </is>
      </c>
    </row>
    <row r="16" ht="20" customHeight="1">
      <c r="A16" s="4" t="inlineStr">
        <is>
          <t>✅ Verified</t>
        </is>
      </c>
      <c r="B16" s="5" t="inlineStr">
        <is>
          <t>Air Jordan 4 A Ma Maniere Violet Ore</t>
        </is>
      </c>
      <c r="C16" s="4" t="inlineStr">
        <is>
          <t>Sneaker</t>
        </is>
      </c>
      <c r="D16" s="4" t="inlineStr">
        <is>
          <t>Jordan</t>
        </is>
      </c>
      <c r="E16" s="4" t="n">
        <v>2022</v>
      </c>
      <c r="F16" s="6" t="n">
        <v>225</v>
      </c>
      <c r="G16" s="6" t="n">
        <v>254</v>
      </c>
      <c r="H16" s="6" t="n">
        <v>128</v>
      </c>
      <c r="I16" s="6" t="n">
        <v>297</v>
      </c>
      <c r="J16" s="4" t="n">
        <v>210</v>
      </c>
      <c r="K16" s="7" t="n">
        <v>16</v>
      </c>
      <c r="L16" s="4" t="n">
        <v>76</v>
      </c>
      <c r="M16" s="5" t="inlineStr">
        <is>
          <t>https://stockx.com/air-jordan-4-retro-a-ma-maniere-violet-ore-w</t>
        </is>
      </c>
      <c r="N16" s="5" t="inlineStr">
        <is>
          <t>StockX real data (collected June 2026)</t>
        </is>
      </c>
      <c r="O16" s="8">
        <f>IFERROR((G16/F16)^(1/MAX(2026-E16,0.5))-1,"")</f>
        <v/>
      </c>
      <c r="P16" s="9" t="inlineStr">
        <is>
          <t>YES</t>
        </is>
      </c>
    </row>
    <row r="17" ht="20" customHeight="1">
      <c r="A17" s="4" t="inlineStr">
        <is>
          <t>✅ Verified</t>
        </is>
      </c>
      <c r="B17" s="5" t="inlineStr">
        <is>
          <t>Air Jordan 4 Bred Reimagined</t>
        </is>
      </c>
      <c r="C17" s="4" t="inlineStr">
        <is>
          <t>Sneaker</t>
        </is>
      </c>
      <c r="D17" s="4" t="inlineStr">
        <is>
          <t>Jordan</t>
        </is>
      </c>
      <c r="E17" s="4" t="n">
        <v>2024</v>
      </c>
      <c r="F17" s="6" t="n">
        <v>215</v>
      </c>
      <c r="G17" s="6" t="n">
        <v>211</v>
      </c>
      <c r="H17" s="6" t="n">
        <v>85</v>
      </c>
      <c r="I17" s="6" t="n">
        <v>278</v>
      </c>
      <c r="J17" s="4" t="n">
        <v>2100</v>
      </c>
      <c r="K17" s="7" t="n">
        <v>18</v>
      </c>
      <c r="L17" s="4" t="n">
        <v>62</v>
      </c>
      <c r="M17" s="5" t="inlineStr">
        <is>
          <t>https://stockx.com/air-jordan-4-retro-bred-reimagined</t>
        </is>
      </c>
      <c r="N17" s="5" t="inlineStr">
        <is>
          <t>StockX real data (collected June 2026)</t>
        </is>
      </c>
      <c r="O17" s="8">
        <f>IFERROR((G17/F17)^(1/MAX(2026-E17,0.5))-1,"")</f>
        <v/>
      </c>
      <c r="P17" s="9" t="inlineStr">
        <is>
          <t>YES</t>
        </is>
      </c>
    </row>
    <row r="18" ht="20" customHeight="1">
      <c r="A18" s="4" t="inlineStr">
        <is>
          <t>✅ Verified</t>
        </is>
      </c>
      <c r="B18" s="5" t="inlineStr">
        <is>
          <t>Air Jordan 4 Military Blue 2024</t>
        </is>
      </c>
      <c r="C18" s="4" t="inlineStr">
        <is>
          <t>Sneaker</t>
        </is>
      </c>
      <c r="D18" s="4" t="inlineStr">
        <is>
          <t>Jordan</t>
        </is>
      </c>
      <c r="E18" s="4" t="n">
        <v>2024</v>
      </c>
      <c r="F18" s="6" t="n">
        <v>215</v>
      </c>
      <c r="G18" s="6" t="n">
        <v>193</v>
      </c>
      <c r="H18" s="6" t="n">
        <v>80</v>
      </c>
      <c r="I18" s="6" t="n">
        <v>260</v>
      </c>
      <c r="J18" s="4" t="n">
        <v>2500</v>
      </c>
      <c r="K18" s="7" t="n">
        <v>16</v>
      </c>
      <c r="L18" s="4" t="n">
        <v>60</v>
      </c>
      <c r="M18" s="5" t="inlineStr">
        <is>
          <t>https://stockx.com/air-jordan-4-retro-military-blue-2024</t>
        </is>
      </c>
      <c r="N18" s="5" t="inlineStr">
        <is>
          <t>StockX real data (collected June 2026)</t>
        </is>
      </c>
      <c r="O18" s="8">
        <f>IFERROR((G18/F18)^(1/MAX(2026-E18,0.5))-1,"")</f>
        <v/>
      </c>
      <c r="P18" s="9" t="inlineStr">
        <is>
          <t>YES</t>
        </is>
      </c>
    </row>
    <row r="19" ht="20" customHeight="1">
      <c r="A19" s="4" t="inlineStr">
        <is>
          <t>✅ Verified</t>
        </is>
      </c>
      <c r="B19" s="5" t="inlineStr">
        <is>
          <t>Asics Gel-Kayano 14 JJJJound Silver White</t>
        </is>
      </c>
      <c r="C19" s="4" t="inlineStr">
        <is>
          <t>Sneaker</t>
        </is>
      </c>
      <c r="D19" s="4" t="inlineStr">
        <is>
          <t>ASICS</t>
        </is>
      </c>
      <c r="E19" s="4" t="n">
        <v>2022</v>
      </c>
      <c r="F19" s="6" t="n">
        <v>180</v>
      </c>
      <c r="G19" s="6" t="n">
        <v>182</v>
      </c>
      <c r="H19" s="6" t="n">
        <v>180</v>
      </c>
      <c r="I19" s="6" t="n">
        <v>325</v>
      </c>
      <c r="J19" s="4" t="n">
        <v>75</v>
      </c>
      <c r="K19" s="7" t="n">
        <v>20</v>
      </c>
      <c r="L19" s="4" t="n">
        <v>76</v>
      </c>
      <c r="M19" s="5" t="inlineStr">
        <is>
          <t>https://stockx.com/asics-gel-kayano-14-jjjjound-silver-white</t>
        </is>
      </c>
      <c r="N19" s="5" t="inlineStr">
        <is>
          <t>StockX real data (collected June 2026)</t>
        </is>
      </c>
      <c r="O19" s="8">
        <f>IFERROR((G19/F19)^(1/MAX(2026-E19,0.5))-1,"")</f>
        <v/>
      </c>
      <c r="P19" s="9" t="inlineStr">
        <is>
          <t>YES</t>
        </is>
      </c>
    </row>
    <row r="20" ht="20" customHeight="1">
      <c r="A20" s="4" t="inlineStr">
        <is>
          <t>✅ Verified</t>
        </is>
      </c>
      <c r="B20" s="5" t="inlineStr">
        <is>
          <t>Jordan 4 SB Navy</t>
        </is>
      </c>
      <c r="C20" s="4" t="inlineStr">
        <is>
          <t>Sneaker</t>
        </is>
      </c>
      <c r="D20" s="4" t="inlineStr">
        <is>
          <t>Jordan</t>
        </is>
      </c>
      <c r="E20" s="4" t="n">
        <v>2025</v>
      </c>
      <c r="F20" s="6" t="n">
        <v>225</v>
      </c>
      <c r="G20" s="6" t="n">
        <v>219</v>
      </c>
      <c r="H20" s="6" t="n">
        <v>120</v>
      </c>
      <c r="I20" s="6" t="n">
        <v>342</v>
      </c>
      <c r="J20" s="4" t="n">
        <v>3728</v>
      </c>
      <c r="K20" s="7" t="n">
        <v>18</v>
      </c>
      <c r="L20" s="4" t="n">
        <v>62</v>
      </c>
      <c r="M20" s="5" t="inlineStr">
        <is>
          <t>https://stockx.com/air-jordan-4-retro-sb-navy</t>
        </is>
      </c>
      <c r="N20" s="5" t="inlineStr">
        <is>
          <t>StockX 3M market data</t>
        </is>
      </c>
      <c r="O20" s="8">
        <f>IFERROR((G20/F20)^(1/MAX(2026-E20,0.5))-1,"")</f>
        <v/>
      </c>
      <c r="P20" s="9" t="inlineStr">
        <is>
          <t>YES</t>
        </is>
      </c>
    </row>
    <row r="21" ht="20" customHeight="1">
      <c r="A21" s="4" t="inlineStr">
        <is>
          <t>✅ Verified</t>
        </is>
      </c>
      <c r="B21" s="5" t="inlineStr">
        <is>
          <t>Jordan 4 SB Pine Green</t>
        </is>
      </c>
      <c r="C21" s="4" t="inlineStr">
        <is>
          <t>Sneaker</t>
        </is>
      </c>
      <c r="D21" s="4" t="inlineStr">
        <is>
          <t>Jordan</t>
        </is>
      </c>
      <c r="E21" s="4" t="n">
        <v>2023</v>
      </c>
      <c r="F21" s="6" t="n">
        <v>225</v>
      </c>
      <c r="G21" s="6" t="n">
        <v>383</v>
      </c>
      <c r="H21" s="6" t="n">
        <v>191</v>
      </c>
      <c r="I21" s="6" t="n">
        <v>680</v>
      </c>
      <c r="J21" s="4" t="n">
        <v>614</v>
      </c>
      <c r="K21" s="7" t="n">
        <v>22</v>
      </c>
      <c r="L21" s="4" t="n">
        <v>80</v>
      </c>
      <c r="M21" s="5" t="inlineStr">
        <is>
          <t>https://stockx.com/air-jordan-4-retro-sb-pine-green</t>
        </is>
      </c>
      <c r="N21" s="5" t="inlineStr">
        <is>
          <t>StockX 3M market data</t>
        </is>
      </c>
      <c r="O21" s="8">
        <f>IFERROR((G21/F21)^(1/MAX(2026-E21,0.5))-1,"")</f>
        <v/>
      </c>
      <c r="P21" s="9" t="inlineStr">
        <is>
          <t>YES</t>
        </is>
      </c>
    </row>
    <row r="22" ht="20" customHeight="1">
      <c r="A22" s="4" t="inlineStr">
        <is>
          <t>✅ Verified</t>
        </is>
      </c>
      <c r="B22" s="5" t="inlineStr">
        <is>
          <t>Kobe 6 Protro Grinch</t>
        </is>
      </c>
      <c r="C22" s="4" t="inlineStr">
        <is>
          <t>Sneaker</t>
        </is>
      </c>
      <c r="D22" s="4" t="inlineStr">
        <is>
          <t>Nike</t>
        </is>
      </c>
      <c r="E22" s="4" t="n">
        <v>2020</v>
      </c>
      <c r="F22" s="6" t="n">
        <v>180</v>
      </c>
      <c r="G22" s="6" t="n">
        <v>790</v>
      </c>
      <c r="H22" s="6" t="n">
        <v>536</v>
      </c>
      <c r="I22" s="6" t="n">
        <v>1444</v>
      </c>
      <c r="J22" s="4" t="n">
        <v>199</v>
      </c>
      <c r="K22" s="7" t="n">
        <v>20</v>
      </c>
      <c r="L22" s="4" t="n">
        <v>86</v>
      </c>
      <c r="M22" s="5" t="inlineStr">
        <is>
          <t>https://stockx.com/nike-kobe-6-protro-grinch</t>
        </is>
      </c>
      <c r="N22" s="5" t="inlineStr">
        <is>
          <t>StockX 3M market data</t>
        </is>
      </c>
      <c r="O22" s="8">
        <f>IFERROR((G22/F22)^(1/MAX(2026-E22,0.5))-1,"")</f>
        <v/>
      </c>
      <c r="P22" s="9" t="inlineStr">
        <is>
          <t>YES</t>
        </is>
      </c>
    </row>
    <row r="23" ht="20" customHeight="1">
      <c r="A23" s="4" t="inlineStr">
        <is>
          <t>✅ Verified</t>
        </is>
      </c>
      <c r="B23" s="5" t="inlineStr">
        <is>
          <t>Kobe 6 Protro Reverse Grinch</t>
        </is>
      </c>
      <c r="C23" s="4" t="inlineStr">
        <is>
          <t>Sneaker</t>
        </is>
      </c>
      <c r="D23" s="4" t="inlineStr">
        <is>
          <t>Nike</t>
        </is>
      </c>
      <c r="E23" s="4" t="n">
        <v>2023</v>
      </c>
      <c r="F23" s="6" t="n">
        <v>180</v>
      </c>
      <c r="G23" s="6" t="n">
        <v>412</v>
      </c>
      <c r="H23" s="6" t="n">
        <v>256</v>
      </c>
      <c r="I23" s="6" t="n">
        <v>730</v>
      </c>
      <c r="J23" s="4" t="n">
        <v>700</v>
      </c>
      <c r="K23" s="7" t="n">
        <v>13</v>
      </c>
      <c r="L23" s="4" t="n">
        <v>78</v>
      </c>
      <c r="M23" s="5" t="inlineStr">
        <is>
          <t>https://stockx.com/nike-kobe-6-protro-reverse-grinch</t>
        </is>
      </c>
      <c r="N23" s="5" t="inlineStr">
        <is>
          <t>StockX 3M market data</t>
        </is>
      </c>
      <c r="O23" s="8">
        <f>IFERROR((G23/F23)^(1/MAX(2026-E23,0.5))-1,"")</f>
        <v/>
      </c>
      <c r="P23" s="9" t="inlineStr">
        <is>
          <t>YES</t>
        </is>
      </c>
    </row>
    <row r="24" ht="20" customHeight="1">
      <c r="A24" s="4" t="inlineStr">
        <is>
          <t>✅ Verified</t>
        </is>
      </c>
      <c r="B24" s="5" t="inlineStr">
        <is>
          <t>New Balance 2002R Protection Pack Rain Cloud</t>
        </is>
      </c>
      <c r="C24" s="4" t="inlineStr">
        <is>
          <t>Sneaker</t>
        </is>
      </c>
      <c r="D24" s="4" t="inlineStr">
        <is>
          <t>New Balance</t>
        </is>
      </c>
      <c r="E24" s="4" t="n">
        <v>2021</v>
      </c>
      <c r="F24" s="6" t="n">
        <v>150</v>
      </c>
      <c r="G24" s="6" t="n">
        <v>117</v>
      </c>
      <c r="H24" s="6" t="n">
        <v>82</v>
      </c>
      <c r="I24" s="6" t="n">
        <v>186</v>
      </c>
      <c r="J24" s="4" t="n">
        <v>180</v>
      </c>
      <c r="K24" s="7" t="n">
        <v>18</v>
      </c>
      <c r="L24" s="4" t="n">
        <v>68</v>
      </c>
      <c r="M24" s="5" t="inlineStr">
        <is>
          <t>https://stockx.com/new-balance-2002r-protection-pack-rain-cloud</t>
        </is>
      </c>
      <c r="N24" s="5" t="inlineStr">
        <is>
          <t>StockX real data (collected June 2026)</t>
        </is>
      </c>
      <c r="O24" s="8">
        <f>IFERROR((G24/F24)^(1/MAX(2026-E24,0.5))-1,"")</f>
        <v/>
      </c>
      <c r="P24" s="9" t="inlineStr">
        <is>
          <t>YES</t>
        </is>
      </c>
    </row>
    <row r="25" ht="20" customHeight="1">
      <c r="A25" s="4" t="inlineStr">
        <is>
          <t>✅ Verified</t>
        </is>
      </c>
      <c r="B25" s="5" t="inlineStr">
        <is>
          <t>New Balance 992 JJJJound Grey</t>
        </is>
      </c>
      <c r="C25" s="4" t="inlineStr">
        <is>
          <t>Sneaker</t>
        </is>
      </c>
      <c r="D25" s="4" t="inlineStr">
        <is>
          <t>New Balance</t>
        </is>
      </c>
      <c r="E25" s="4" t="n">
        <v>2020</v>
      </c>
      <c r="F25" s="6" t="n">
        <v>260</v>
      </c>
      <c r="G25" s="6" t="n">
        <v>789</v>
      </c>
      <c r="H25" s="6" t="n">
        <v>584</v>
      </c>
      <c r="I25" s="6" t="n">
        <v>1203</v>
      </c>
      <c r="J25" s="4" t="n">
        <v>11</v>
      </c>
      <c r="K25" s="7" t="n">
        <v>28</v>
      </c>
      <c r="L25" s="4" t="n">
        <v>86</v>
      </c>
      <c r="M25" s="5" t="inlineStr">
        <is>
          <t>https://stockx.com/new-balance-992-jjjjound</t>
        </is>
      </c>
      <c r="N25" s="5" t="inlineStr">
        <is>
          <t>StockX 3M market data</t>
        </is>
      </c>
      <c r="O25" s="8">
        <f>IFERROR((G25/F25)^(1/MAX(2026-E25,0.5))-1,"")</f>
        <v/>
      </c>
      <c r="P25" s="9" t="inlineStr">
        <is>
          <t>YES</t>
        </is>
      </c>
    </row>
    <row r="26" ht="20" customHeight="1">
      <c r="A26" s="4" t="inlineStr">
        <is>
          <t>✅ Verified</t>
        </is>
      </c>
      <c r="B26" s="5" t="inlineStr">
        <is>
          <t>Nike Air Yeezy 2 Red October</t>
        </is>
      </c>
      <c r="C26" s="4" t="inlineStr">
        <is>
          <t>Sneaker</t>
        </is>
      </c>
      <c r="D26" s="4" t="inlineStr">
        <is>
          <t>Nike</t>
        </is>
      </c>
      <c r="E26" s="4" t="n">
        <v>2014</v>
      </c>
      <c r="F26" s="6" t="n">
        <v>250</v>
      </c>
      <c r="G26" s="6" t="n">
        <v>8000</v>
      </c>
      <c r="H26" s="6" t="n">
        <v>6000</v>
      </c>
      <c r="I26" s="6" t="n">
        <v>16000</v>
      </c>
      <c r="J26" s="4" t="n">
        <v>5</v>
      </c>
      <c r="K26" s="7" t="n">
        <v>30</v>
      </c>
      <c r="L26" s="4" t="n">
        <v>99</v>
      </c>
      <c r="M26" s="5" t="inlineStr">
        <is>
          <t>https://stockx.com/nike-air-yeezy-2-red-october</t>
        </is>
      </c>
      <c r="N26" s="5" t="inlineStr">
        <is>
          <t>StockX real data (collected June 2026)</t>
        </is>
      </c>
      <c r="O26" s="8">
        <f>IFERROR((G26/F26)^(1/MAX(2026-E26,0.5))-1,"")</f>
        <v/>
      </c>
      <c r="P26" s="9" t="inlineStr">
        <is>
          <t>YES</t>
        </is>
      </c>
    </row>
    <row r="27" ht="20" customHeight="1">
      <c r="A27" s="4" t="inlineStr">
        <is>
          <t>✅ Verified</t>
        </is>
      </c>
      <c r="B27" s="5" t="inlineStr">
        <is>
          <t>Nike Air Yeezy 2 Solar Red</t>
        </is>
      </c>
      <c r="C27" s="4" t="inlineStr">
        <is>
          <t>Sneaker</t>
        </is>
      </c>
      <c r="D27" s="4" t="inlineStr">
        <is>
          <t>Nike</t>
        </is>
      </c>
      <c r="E27" s="4" t="n">
        <v>2012</v>
      </c>
      <c r="F27" s="6" t="n">
        <v>250</v>
      </c>
      <c r="G27" s="6" t="n">
        <v>2202</v>
      </c>
      <c r="H27" s="6" t="n">
        <v>2202</v>
      </c>
      <c r="I27" s="6" t="n">
        <v>4401</v>
      </c>
      <c r="J27" s="4" t="n">
        <v>4</v>
      </c>
      <c r="K27" s="7" t="n">
        <v>28</v>
      </c>
      <c r="L27" s="4" t="n">
        <v>98</v>
      </c>
      <c r="M27" s="5" t="inlineStr">
        <is>
          <t>https://stockx.com/nike-air-yeezy-2-solar-red</t>
        </is>
      </c>
      <c r="N27" s="5" t="inlineStr">
        <is>
          <t>StockX real data (collected June 2026)</t>
        </is>
      </c>
      <c r="O27" s="8">
        <f>IFERROR((G27/F27)^(1/MAX(2026-E27,0.5))-1,"")</f>
        <v/>
      </c>
      <c r="P27" s="9" t="inlineStr">
        <is>
          <t>YES</t>
        </is>
      </c>
    </row>
    <row r="28" ht="20" customHeight="1">
      <c r="A28" s="4" t="inlineStr">
        <is>
          <t>✅ Verified</t>
        </is>
      </c>
      <c r="B28" s="5" t="inlineStr">
        <is>
          <t>Nike Dunk Low Off-White Lot 50</t>
        </is>
      </c>
      <c r="C28" s="4" t="inlineStr">
        <is>
          <t>Sneaker</t>
        </is>
      </c>
      <c r="D28" s="4" t="inlineStr">
        <is>
          <t>Nike</t>
        </is>
      </c>
      <c r="E28" s="4" t="n">
        <v>2021</v>
      </c>
      <c r="F28" s="6" t="n">
        <v>180</v>
      </c>
      <c r="G28" s="6" t="n">
        <v>833</v>
      </c>
      <c r="H28" s="6" t="n">
        <v>526</v>
      </c>
      <c r="I28" s="6" t="n">
        <v>902</v>
      </c>
      <c r="J28" s="4" t="n">
        <v>80</v>
      </c>
      <c r="K28" s="7" t="n">
        <v>24</v>
      </c>
      <c r="L28" s="4" t="n">
        <v>87</v>
      </c>
      <c r="M28" s="5" t="inlineStr">
        <is>
          <t>https://stockx.com/nike-dunk-low-off-white-lot-50</t>
        </is>
      </c>
      <c r="N28" s="5" t="inlineStr">
        <is>
          <t>StockX real data (collected June 2026)</t>
        </is>
      </c>
      <c r="O28" s="8">
        <f>IFERROR((G28/F28)^(1/MAX(2026-E28,0.5))-1,"")</f>
        <v/>
      </c>
      <c r="P28" s="9" t="inlineStr">
        <is>
          <t>YES</t>
        </is>
      </c>
    </row>
    <row r="29" ht="20" customHeight="1">
      <c r="A29" s="4" t="inlineStr">
        <is>
          <t>✅ Verified</t>
        </is>
      </c>
      <c r="B29" s="5" t="inlineStr">
        <is>
          <t>Nike Mind 001 Slide Black Chrome</t>
        </is>
      </c>
      <c r="C29" s="4" t="inlineStr">
        <is>
          <t>Sneaker</t>
        </is>
      </c>
      <c r="D29" s="4" t="inlineStr">
        <is>
          <t>Nike</t>
        </is>
      </c>
      <c r="E29" s="4" t="n">
        <v>2026</v>
      </c>
      <c r="F29" s="6" t="n">
        <v>95</v>
      </c>
      <c r="G29" s="6" t="n">
        <v>210</v>
      </c>
      <c r="H29" s="6" t="n">
        <v>129</v>
      </c>
      <c r="I29" s="6" t="n">
        <v>260</v>
      </c>
      <c r="J29" s="4" t="n">
        <v>300</v>
      </c>
      <c r="K29" s="7" t="n">
        <v>18</v>
      </c>
      <c r="L29" s="4" t="n">
        <v>58</v>
      </c>
      <c r="M29" s="5" t="inlineStr">
        <is>
          <t>https://stockx.com/nike-mind-001-slide-black-chrome</t>
        </is>
      </c>
      <c r="N29" s="5" t="inlineStr">
        <is>
          <t>StockX real data (collected June 2026)</t>
        </is>
      </c>
      <c r="O29" s="8">
        <f>IFERROR((G29/F29)^(1/MAX(2026-E29,0.5))-1,"")</f>
        <v/>
      </c>
      <c r="P29" s="9" t="inlineStr">
        <is>
          <t>YES</t>
        </is>
      </c>
    </row>
    <row r="30" ht="20" customHeight="1">
      <c r="A30" s="4" t="inlineStr">
        <is>
          <t>✅ Verified</t>
        </is>
      </c>
      <c r="B30" s="5" t="inlineStr">
        <is>
          <t>Nike Mind 001 Slide Black Chrome Womens</t>
        </is>
      </c>
      <c r="C30" s="4" t="inlineStr">
        <is>
          <t>Sneaker</t>
        </is>
      </c>
      <c r="D30" s="4" t="inlineStr">
        <is>
          <t>Nike</t>
        </is>
      </c>
      <c r="E30" s="4" t="n">
        <v>2026</v>
      </c>
      <c r="F30" s="6" t="n">
        <v>95</v>
      </c>
      <c r="G30" s="6" t="n">
        <v>144</v>
      </c>
      <c r="H30" s="6" t="n">
        <v>90</v>
      </c>
      <c r="I30" s="6" t="n">
        <v>190</v>
      </c>
      <c r="J30" s="4" t="n">
        <v>220</v>
      </c>
      <c r="K30" s="7" t="n">
        <v>16</v>
      </c>
      <c r="L30" s="4" t="n">
        <v>50</v>
      </c>
      <c r="M30" s="5" t="inlineStr">
        <is>
          <t>https://stockx.com/nike-mind-001-slide-black-chrome-w</t>
        </is>
      </c>
      <c r="N30" s="5" t="inlineStr">
        <is>
          <t>StockX real data (collected June 2026)</t>
        </is>
      </c>
      <c r="O30" s="8">
        <f>IFERROR((G30/F30)^(1/MAX(2026-E30,0.5))-1,"")</f>
        <v/>
      </c>
      <c r="P30" s="9" t="inlineStr">
        <is>
          <t>YES</t>
        </is>
      </c>
    </row>
    <row r="31" ht="20" customHeight="1">
      <c r="A31" s="4" t="inlineStr">
        <is>
          <t>✅ Verified</t>
        </is>
      </c>
      <c r="B31" s="5" t="inlineStr">
        <is>
          <t>Nike Mind 001 Slide Blackened Blue Game Royal</t>
        </is>
      </c>
      <c r="C31" s="4" t="inlineStr">
        <is>
          <t>Sneaker</t>
        </is>
      </c>
      <c r="D31" s="4" t="inlineStr">
        <is>
          <t>Nike</t>
        </is>
      </c>
      <c r="E31" s="4" t="n">
        <v>2026</v>
      </c>
      <c r="F31" s="6" t="n">
        <v>80</v>
      </c>
      <c r="G31" s="6" t="n">
        <v>163</v>
      </c>
      <c r="H31" s="6" t="n">
        <v>80</v>
      </c>
      <c r="I31" s="6" t="n">
        <v>211</v>
      </c>
      <c r="J31" s="4" t="n">
        <v>55</v>
      </c>
      <c r="K31" s="7" t="n">
        <v>27</v>
      </c>
      <c r="L31" s="4" t="n">
        <v>76</v>
      </c>
      <c r="M31" s="5" t="inlineStr">
        <is>
          <t>https://stockx.com/nike-mind-001-slide-blackened-blue-game-royal</t>
        </is>
      </c>
      <c r="N31" s="5" t="inlineStr">
        <is>
          <t>StockX real data (collected June 2026)</t>
        </is>
      </c>
      <c r="O31" s="8">
        <f>IFERROR((G31/F31)^(1/MAX(2026-E31,0.5))-1,"")</f>
        <v/>
      </c>
      <c r="P31" s="9" t="inlineStr">
        <is>
          <t>YES</t>
        </is>
      </c>
    </row>
    <row r="32" ht="20" customHeight="1">
      <c r="A32" s="4" t="inlineStr">
        <is>
          <t>✅ Verified</t>
        </is>
      </c>
      <c r="B32" s="5" t="inlineStr">
        <is>
          <t>Nike Mind 001 Slide Fragment Black</t>
        </is>
      </c>
      <c r="C32" s="4" t="inlineStr">
        <is>
          <t>Sneaker</t>
        </is>
      </c>
      <c r="D32" s="4" t="inlineStr">
        <is>
          <t>Nike</t>
        </is>
      </c>
      <c r="E32" s="4" t="n">
        <v>2026</v>
      </c>
      <c r="F32" s="6" t="n">
        <v>90</v>
      </c>
      <c r="G32" s="6" t="n">
        <v>877</v>
      </c>
      <c r="H32" s="6" t="n">
        <v>479</v>
      </c>
      <c r="I32" s="6" t="n">
        <v>1400</v>
      </c>
      <c r="J32" s="4" t="n">
        <v>45</v>
      </c>
      <c r="K32" s="7" t="n">
        <v>20</v>
      </c>
      <c r="L32" s="4" t="n">
        <v>90</v>
      </c>
      <c r="M32" s="5" t="inlineStr">
        <is>
          <t>https://stockx.com/nike-mind-001-slide-fragment-black</t>
        </is>
      </c>
      <c r="N32" s="5" t="inlineStr">
        <is>
          <t>StockX 3M market data</t>
        </is>
      </c>
      <c r="O32" s="8">
        <f>IFERROR((G32/F32)^(1/MAX(2026-E32,0.5))-1,"")</f>
        <v/>
      </c>
      <c r="P32" s="9" t="inlineStr">
        <is>
          <t>YES</t>
        </is>
      </c>
    </row>
    <row r="33" ht="20" customHeight="1">
      <c r="A33" s="4" t="inlineStr">
        <is>
          <t>✅ Verified</t>
        </is>
      </c>
      <c r="B33" s="5" t="inlineStr">
        <is>
          <t>Nike Mind 001 Slide Geode Teal Light Menta</t>
        </is>
      </c>
      <c r="C33" s="4" t="inlineStr">
        <is>
          <t>Sneaker</t>
        </is>
      </c>
      <c r="D33" s="4" t="inlineStr">
        <is>
          <t>Nike</t>
        </is>
      </c>
      <c r="E33" s="4" t="n">
        <v>2026</v>
      </c>
      <c r="F33" s="6" t="n">
        <v>95</v>
      </c>
      <c r="G33" s="6" t="n">
        <v>146</v>
      </c>
      <c r="H33" s="6" t="n">
        <v>95</v>
      </c>
      <c r="I33" s="6" t="n">
        <v>143</v>
      </c>
      <c r="J33" s="4" t="n">
        <v>120</v>
      </c>
      <c r="K33" s="7" t="n">
        <v>22</v>
      </c>
      <c r="L33" s="4" t="n">
        <v>66</v>
      </c>
      <c r="M33" s="5" t="inlineStr">
        <is>
          <t>https://stockx.com/nike-mind-001-slide-geode-teal-light-menta</t>
        </is>
      </c>
      <c r="N33" s="5" t="inlineStr">
        <is>
          <t>StockX real data (collected June 2026)</t>
        </is>
      </c>
      <c r="O33" s="8">
        <f>IFERROR((G33/F33)^(1/MAX(2026-E33,0.5))-1,"")</f>
        <v/>
      </c>
      <c r="P33" s="9" t="inlineStr">
        <is>
          <t>YES</t>
        </is>
      </c>
    </row>
    <row r="34" ht="20" customHeight="1">
      <c r="A34" s="4" t="inlineStr">
        <is>
          <t>✅ Verified</t>
        </is>
      </c>
      <c r="B34" s="5" t="inlineStr">
        <is>
          <t>Nike Mind 001 Slide Light Bone</t>
        </is>
      </c>
      <c r="C34" s="4" t="inlineStr">
        <is>
          <t>Sneaker</t>
        </is>
      </c>
      <c r="D34" s="4" t="inlineStr">
        <is>
          <t>Nike</t>
        </is>
      </c>
      <c r="E34" s="4" t="n">
        <v>2026</v>
      </c>
      <c r="F34" s="6" t="n">
        <v>95</v>
      </c>
      <c r="G34" s="6" t="n">
        <v>185</v>
      </c>
      <c r="H34" s="6" t="n">
        <v>95</v>
      </c>
      <c r="I34" s="6" t="n">
        <v>224</v>
      </c>
      <c r="J34" s="4" t="n">
        <v>95</v>
      </c>
      <c r="K34" s="7" t="n">
        <v>24</v>
      </c>
      <c r="L34" s="4" t="n">
        <v>70</v>
      </c>
      <c r="M34" s="5" t="inlineStr">
        <is>
          <t>https://stockx.com/nike-mind-001-slide-light-bone</t>
        </is>
      </c>
      <c r="N34" s="5" t="inlineStr">
        <is>
          <t>StockX real data (collected June 2026)</t>
        </is>
      </c>
      <c r="O34" s="8">
        <f>IFERROR((G34/F34)^(1/MAX(2026-E34,0.5))-1,"")</f>
        <v/>
      </c>
      <c r="P34" s="9" t="inlineStr">
        <is>
          <t>YES</t>
        </is>
      </c>
    </row>
    <row r="35" ht="20" customHeight="1">
      <c r="A35" s="4" t="inlineStr">
        <is>
          <t>✅ Verified</t>
        </is>
      </c>
      <c r="B35" s="5" t="inlineStr">
        <is>
          <t>Nike Mind 001 Slide Light Smoke Grey</t>
        </is>
      </c>
      <c r="C35" s="4" t="inlineStr">
        <is>
          <t>Sneaker</t>
        </is>
      </c>
      <c r="D35" s="4" t="inlineStr">
        <is>
          <t>Nike</t>
        </is>
      </c>
      <c r="E35" s="4" t="n">
        <v>2026</v>
      </c>
      <c r="F35" s="6" t="n">
        <v>95</v>
      </c>
      <c r="G35" s="6" t="n">
        <v>253</v>
      </c>
      <c r="H35" s="6" t="n">
        <v>114</v>
      </c>
      <c r="I35" s="6" t="n">
        <v>554</v>
      </c>
      <c r="J35" s="4" t="n">
        <v>2934</v>
      </c>
      <c r="K35" s="7" t="n">
        <v>15</v>
      </c>
      <c r="L35" s="4" t="n">
        <v>54</v>
      </c>
      <c r="M35" s="5" t="inlineStr">
        <is>
          <t>https://stockx.com/nike-mind-001-slide-light-smoke-grey</t>
        </is>
      </c>
      <c r="N35" s="5" t="inlineStr">
        <is>
          <t>StockX real data (collected June 2026)</t>
        </is>
      </c>
      <c r="O35" s="8">
        <f>IFERROR((G35/F35)^(1/MAX(2026-E35,0.5))-1,"")</f>
        <v/>
      </c>
      <c r="P35" s="9" t="inlineStr">
        <is>
          <t>YES</t>
        </is>
      </c>
    </row>
    <row r="36" ht="20" customHeight="1">
      <c r="A36" s="4" t="inlineStr">
        <is>
          <t>✅ Verified</t>
        </is>
      </c>
      <c r="B36" s="5" t="inlineStr">
        <is>
          <t>Nike Mind 001 Slide Light Smoke Grey Womens</t>
        </is>
      </c>
      <c r="C36" s="4" t="inlineStr">
        <is>
          <t>Sneaker</t>
        </is>
      </c>
      <c r="D36" s="4" t="inlineStr">
        <is>
          <t>Nike</t>
        </is>
      </c>
      <c r="E36" s="4" t="n">
        <v>2026</v>
      </c>
      <c r="F36" s="6" t="n">
        <v>95</v>
      </c>
      <c r="G36" s="6" t="n">
        <v>185</v>
      </c>
      <c r="H36" s="6" t="n">
        <v>95</v>
      </c>
      <c r="I36" s="6" t="n">
        <v>224</v>
      </c>
      <c r="J36" s="4" t="n">
        <v>200</v>
      </c>
      <c r="K36" s="7" t="n">
        <v>16</v>
      </c>
      <c r="L36" s="4" t="n">
        <v>52</v>
      </c>
      <c r="M36" s="5" t="inlineStr">
        <is>
          <t>https://stockx.com/nike-mind-001-slide-light-smoke-grey-w</t>
        </is>
      </c>
      <c r="N36" s="5" t="inlineStr">
        <is>
          <t>StockX real data (collected June 2026)</t>
        </is>
      </c>
      <c r="O36" s="8">
        <f>IFERROR((G36/F36)^(1/MAX(2026-E36,0.5))-1,"")</f>
        <v/>
      </c>
      <c r="P36" s="9" t="inlineStr">
        <is>
          <t>YES</t>
        </is>
      </c>
    </row>
    <row r="37" ht="20" customHeight="1">
      <c r="A37" s="4" t="inlineStr">
        <is>
          <t>✅ Verified</t>
        </is>
      </c>
      <c r="B37" s="5" t="inlineStr">
        <is>
          <t>Nike Mind 001 Slide Mineral Slate</t>
        </is>
      </c>
      <c r="C37" s="4" t="inlineStr">
        <is>
          <t>Sneaker</t>
        </is>
      </c>
      <c r="D37" s="4" t="inlineStr">
        <is>
          <t>Nike</t>
        </is>
      </c>
      <c r="E37" s="4" t="n">
        <v>2026</v>
      </c>
      <c r="F37" s="6" t="n">
        <v>95</v>
      </c>
      <c r="G37" s="6" t="n">
        <v>165</v>
      </c>
      <c r="H37" s="6" t="n">
        <v>95</v>
      </c>
      <c r="I37" s="6" t="n">
        <v>190</v>
      </c>
      <c r="J37" s="4" t="n">
        <v>160</v>
      </c>
      <c r="K37" s="7" t="n">
        <v>18</v>
      </c>
      <c r="L37" s="4" t="n">
        <v>58</v>
      </c>
      <c r="M37" s="5" t="inlineStr">
        <is>
          <t>https://stockx.com/nike-mind-001-slide-mineral-slate</t>
        </is>
      </c>
      <c r="N37" s="5" t="inlineStr">
        <is>
          <t>StockX real data (collected June 2026)</t>
        </is>
      </c>
      <c r="O37" s="8">
        <f>IFERROR((G37/F37)^(1/MAX(2026-E37,0.5))-1,"")</f>
        <v/>
      </c>
      <c r="P37" s="9" t="inlineStr">
        <is>
          <t>YES</t>
        </is>
      </c>
    </row>
    <row r="38" ht="20" customHeight="1">
      <c r="A38" s="4" t="inlineStr">
        <is>
          <t>✅ Verified</t>
        </is>
      </c>
      <c r="B38" s="5" t="inlineStr">
        <is>
          <t>Nike Mind 001 Slide Pearl Pink Womens</t>
        </is>
      </c>
      <c r="C38" s="4" t="inlineStr">
        <is>
          <t>Sneaker</t>
        </is>
      </c>
      <c r="D38" s="4" t="inlineStr">
        <is>
          <t>Nike</t>
        </is>
      </c>
      <c r="E38" s="4" t="n">
        <v>2026</v>
      </c>
      <c r="F38" s="6" t="n">
        <v>95</v>
      </c>
      <c r="G38" s="6" t="n">
        <v>116</v>
      </c>
      <c r="H38" s="6" t="n">
        <v>95</v>
      </c>
      <c r="I38" s="6" t="n">
        <v>195</v>
      </c>
      <c r="J38" s="4" t="n">
        <v>140</v>
      </c>
      <c r="K38" s="7" t="n">
        <v>20</v>
      </c>
      <c r="L38" s="4" t="n">
        <v>58</v>
      </c>
      <c r="M38" s="5" t="inlineStr">
        <is>
          <t>https://stockx.com/nike-mind-001-slide-pearl-pink-w</t>
        </is>
      </c>
      <c r="N38" s="5" t="inlineStr">
        <is>
          <t>StockX real data (collected June 2026)</t>
        </is>
      </c>
      <c r="O38" s="8">
        <f>IFERROR((G38/F38)^(1/MAX(2026-E38,0.5))-1,"")</f>
        <v/>
      </c>
      <c r="P38" s="9" t="inlineStr">
        <is>
          <t>YES</t>
        </is>
      </c>
    </row>
    <row r="39" ht="20" customHeight="1">
      <c r="A39" s="4" t="inlineStr">
        <is>
          <t>✅ Verified</t>
        </is>
      </c>
      <c r="B39" s="5" t="inlineStr">
        <is>
          <t>Nike Mind 001 Slide Sail</t>
        </is>
      </c>
      <c r="C39" s="4" t="inlineStr">
        <is>
          <t>Sneaker</t>
        </is>
      </c>
      <c r="D39" s="4" t="inlineStr">
        <is>
          <t>Nike</t>
        </is>
      </c>
      <c r="E39" s="4" t="n">
        <v>2026</v>
      </c>
      <c r="F39" s="6" t="n">
        <v>95</v>
      </c>
      <c r="G39" s="6" t="n">
        <v>247</v>
      </c>
      <c r="H39" s="6" t="n">
        <v>95</v>
      </c>
      <c r="I39" s="6" t="n">
        <v>216</v>
      </c>
      <c r="J39" s="4" t="n">
        <v>130</v>
      </c>
      <c r="K39" s="7" t="n">
        <v>22</v>
      </c>
      <c r="L39" s="4" t="n">
        <v>66</v>
      </c>
      <c r="M39" s="5" t="inlineStr">
        <is>
          <t>https://stockx.com/nike-mind-001-slide-sail</t>
        </is>
      </c>
      <c r="N39" s="5" t="inlineStr">
        <is>
          <t>StockX real data (collected June 2026)</t>
        </is>
      </c>
      <c r="O39" s="8">
        <f>IFERROR((G39/F39)^(1/MAX(2026-E39,0.5))-1,"")</f>
        <v/>
      </c>
      <c r="P39" s="9" t="inlineStr">
        <is>
          <t>YES</t>
        </is>
      </c>
    </row>
    <row r="40" ht="20" customHeight="1">
      <c r="A40" s="4" t="inlineStr">
        <is>
          <t>✅ Verified</t>
        </is>
      </c>
      <c r="B40" s="5" t="inlineStr">
        <is>
          <t>Nike Mind 001 Slide Sail Womens</t>
        </is>
      </c>
      <c r="C40" s="4" t="inlineStr">
        <is>
          <t>Sneaker</t>
        </is>
      </c>
      <c r="D40" s="4" t="inlineStr">
        <is>
          <t>Nike</t>
        </is>
      </c>
      <c r="E40" s="4" t="n">
        <v>2026</v>
      </c>
      <c r="F40" s="6" t="n">
        <v>40</v>
      </c>
      <c r="G40" s="6" t="n">
        <v>137</v>
      </c>
      <c r="H40" s="6" t="n">
        <v>40</v>
      </c>
      <c r="I40" s="6" t="n">
        <v>169</v>
      </c>
      <c r="J40" s="4" t="n">
        <v>170</v>
      </c>
      <c r="K40" s="7" t="n">
        <v>18</v>
      </c>
      <c r="L40" s="4" t="n">
        <v>55</v>
      </c>
      <c r="M40" s="5" t="inlineStr">
        <is>
          <t>https://stockx.com/nike-mind-001-slide-sail-w</t>
        </is>
      </c>
      <c r="N40" s="5" t="inlineStr">
        <is>
          <t>StockX real data (collected June 2026)</t>
        </is>
      </c>
      <c r="O40" s="8">
        <f>IFERROR((G40/F40)^(1/MAX(2026-E40,0.5))-1,"")</f>
        <v/>
      </c>
      <c r="P40" s="9" t="inlineStr">
        <is>
          <t>YES</t>
        </is>
      </c>
    </row>
    <row r="41" ht="20" customHeight="1">
      <c r="A41" s="4" t="inlineStr">
        <is>
          <t>✅ Verified</t>
        </is>
      </c>
      <c r="B41" s="5" t="inlineStr">
        <is>
          <t>Nike Mind 001 Slide Solar Red</t>
        </is>
      </c>
      <c r="C41" s="4" t="inlineStr">
        <is>
          <t>Sneaker</t>
        </is>
      </c>
      <c r="D41" s="4" t="inlineStr">
        <is>
          <t>Nike</t>
        </is>
      </c>
      <c r="E41" s="4" t="n">
        <v>2026</v>
      </c>
      <c r="F41" s="6" t="n">
        <v>95</v>
      </c>
      <c r="G41" s="6" t="n">
        <v>267</v>
      </c>
      <c r="H41" s="6" t="n">
        <v>95</v>
      </c>
      <c r="I41" s="6" t="n">
        <v>290</v>
      </c>
      <c r="J41" s="4" t="n">
        <v>280</v>
      </c>
      <c r="K41" s="7" t="n">
        <v>18</v>
      </c>
      <c r="L41" s="4" t="n">
        <v>58</v>
      </c>
      <c r="M41" s="5" t="inlineStr">
        <is>
          <t>https://stockx.com/nike-mind-001-slide-solar-red</t>
        </is>
      </c>
      <c r="N41" s="5" t="inlineStr">
        <is>
          <t>StockX real data (collected June 2026)</t>
        </is>
      </c>
      <c r="O41" s="8">
        <f>IFERROR((G41/F41)^(1/MAX(2026-E41,0.5))-1,"")</f>
        <v/>
      </c>
      <c r="P41" s="9" t="inlineStr">
        <is>
          <t>YES</t>
        </is>
      </c>
    </row>
    <row r="42" ht="20" customHeight="1">
      <c r="A42" s="4" t="inlineStr">
        <is>
          <t>✅ Verified</t>
        </is>
      </c>
      <c r="B42" s="5" t="inlineStr">
        <is>
          <t>Nike Mind 001 Slide Solar Red Womens</t>
        </is>
      </c>
      <c r="C42" s="4" t="inlineStr">
        <is>
          <t>Sneaker</t>
        </is>
      </c>
      <c r="D42" s="4" t="inlineStr">
        <is>
          <t>Nike</t>
        </is>
      </c>
      <c r="E42" s="4" t="n">
        <v>2026</v>
      </c>
      <c r="F42" s="6" t="n">
        <v>95</v>
      </c>
      <c r="G42" s="6" t="n">
        <v>106</v>
      </c>
      <c r="H42" s="6" t="n">
        <v>95</v>
      </c>
      <c r="I42" s="6" t="n">
        <v>188</v>
      </c>
      <c r="J42" s="4" t="n">
        <v>190</v>
      </c>
      <c r="K42" s="7" t="n">
        <v>17</v>
      </c>
      <c r="L42" s="4" t="n">
        <v>52</v>
      </c>
      <c r="M42" s="5" t="inlineStr">
        <is>
          <t>https://stockx.com/nike-mind-001-slide-solar-red-w</t>
        </is>
      </c>
      <c r="N42" s="5" t="inlineStr">
        <is>
          <t>StockX real data (collected June 2026)</t>
        </is>
      </c>
      <c r="O42" s="8">
        <f>IFERROR((G42/F42)^(1/MAX(2026-E42,0.5))-1,"")</f>
        <v/>
      </c>
      <c r="P42" s="9" t="inlineStr">
        <is>
          <t>YES</t>
        </is>
      </c>
    </row>
    <row r="43" ht="20" customHeight="1">
      <c r="A43" s="4" t="inlineStr">
        <is>
          <t>✅ Verified</t>
        </is>
      </c>
      <c r="B43" s="5" t="inlineStr">
        <is>
          <t>Nike Mind 001 Slide Team Red University Red</t>
        </is>
      </c>
      <c r="C43" s="4" t="inlineStr">
        <is>
          <t>Sneaker</t>
        </is>
      </c>
      <c r="D43" s="4" t="inlineStr">
        <is>
          <t>Nike</t>
        </is>
      </c>
      <c r="E43" s="4" t="n">
        <v>2026</v>
      </c>
      <c r="F43" s="6" t="n">
        <v>95</v>
      </c>
      <c r="G43" s="6" t="n">
        <v>197</v>
      </c>
      <c r="H43" s="6" t="n">
        <v>95</v>
      </c>
      <c r="I43" s="6" t="n">
        <v>251</v>
      </c>
      <c r="J43" s="4" t="n">
        <v>120</v>
      </c>
      <c r="K43" s="7" t="n">
        <v>22</v>
      </c>
      <c r="L43" s="4" t="n">
        <v>66</v>
      </c>
      <c r="M43" s="5" t="inlineStr">
        <is>
          <t>https://stockx.com/nike-mind-001-slide-team-red-university-red</t>
        </is>
      </c>
      <c r="N43" s="5" t="inlineStr">
        <is>
          <t>StockX real data (collected June 2026)</t>
        </is>
      </c>
      <c r="O43" s="8">
        <f>IFERROR((G43/F43)^(1/MAX(2026-E43,0.5))-1,"")</f>
        <v/>
      </c>
      <c r="P43" s="9" t="inlineStr">
        <is>
          <t>YES</t>
        </is>
      </c>
    </row>
    <row r="44" ht="20" customHeight="1">
      <c r="A44" s="4" t="inlineStr">
        <is>
          <t>✅ Verified</t>
        </is>
      </c>
      <c r="B44" s="5" t="inlineStr">
        <is>
          <t>Nike Mind 001 Slide White Speed Red</t>
        </is>
      </c>
      <c r="C44" s="4" t="inlineStr">
        <is>
          <t>Sneaker</t>
        </is>
      </c>
      <c r="D44" s="4" t="inlineStr">
        <is>
          <t>Nike</t>
        </is>
      </c>
      <c r="E44" s="4" t="n">
        <v>2026</v>
      </c>
      <c r="F44" s="6" t="n">
        <v>95</v>
      </c>
      <c r="G44" s="6" t="n">
        <v>182</v>
      </c>
      <c r="H44" s="6" t="n">
        <v>95</v>
      </c>
      <c r="I44" s="6" t="n">
        <v>239</v>
      </c>
      <c r="J44" s="4" t="n">
        <v>90</v>
      </c>
      <c r="K44" s="7" t="n">
        <v>24</v>
      </c>
      <c r="L44" s="4" t="n">
        <v>69</v>
      </c>
      <c r="M44" s="5" t="inlineStr">
        <is>
          <t>https://stockx.com/nike-mind-001-slide-white-speed-red</t>
        </is>
      </c>
      <c r="N44" s="5" t="inlineStr">
        <is>
          <t>StockX real data (collected June 2026)</t>
        </is>
      </c>
      <c r="O44" s="8">
        <f>IFERROR((G44/F44)^(1/MAX(2026-E44,0.5))-1,"")</f>
        <v/>
      </c>
      <c r="P44" s="9" t="inlineStr">
        <is>
          <t>YES</t>
        </is>
      </c>
    </row>
    <row r="45" ht="20" customHeight="1">
      <c r="A45" s="4" t="inlineStr">
        <is>
          <t>✅ Verified</t>
        </is>
      </c>
      <c r="B45" s="5" t="inlineStr">
        <is>
          <t>Nike SB Dunk Low April Skateboards</t>
        </is>
      </c>
      <c r="C45" s="4" t="inlineStr">
        <is>
          <t>Sneaker</t>
        </is>
      </c>
      <c r="D45" s="4" t="inlineStr">
        <is>
          <t>Nike SB</t>
        </is>
      </c>
      <c r="E45" s="4" t="n">
        <v>2023</v>
      </c>
      <c r="F45" s="6" t="n">
        <v>120</v>
      </c>
      <c r="G45" s="6" t="n">
        <v>340</v>
      </c>
      <c r="H45" s="6" t="n">
        <v>211</v>
      </c>
      <c r="I45" s="6" t="n">
        <v>300</v>
      </c>
      <c r="J45" s="4" t="n">
        <v>300</v>
      </c>
      <c r="K45" s="7" t="n">
        <v>20</v>
      </c>
      <c r="L45" s="4" t="n">
        <v>78</v>
      </c>
      <c r="M45" s="5" t="inlineStr">
        <is>
          <t>https://stockx.com/nike-sb-dunk-low-april-skateboards</t>
        </is>
      </c>
      <c r="N45" s="5" t="inlineStr">
        <is>
          <t>StockX real data (collected June 2026)</t>
        </is>
      </c>
      <c r="O45" s="8">
        <f>IFERROR((G45/F45)^(1/MAX(2026-E45,0.5))-1,"")</f>
        <v/>
      </c>
      <c r="P45" s="9" t="inlineStr">
        <is>
          <t>YES</t>
        </is>
      </c>
    </row>
    <row r="46" ht="20" customHeight="1">
      <c r="A46" s="4" t="inlineStr">
        <is>
          <t>✅ Verified</t>
        </is>
      </c>
      <c r="B46" s="5" t="inlineStr">
        <is>
          <t>Nike SB Dunk Low Born x Raised</t>
        </is>
      </c>
      <c r="C46" s="4" t="inlineStr">
        <is>
          <t>Sneaker</t>
        </is>
      </c>
      <c r="D46" s="4" t="inlineStr">
        <is>
          <t>Nike SB</t>
        </is>
      </c>
      <c r="E46" s="4" t="n">
        <v>2023</v>
      </c>
      <c r="F46" s="6" t="n">
        <v>130</v>
      </c>
      <c r="G46" s="6" t="n">
        <v>404</v>
      </c>
      <c r="H46" s="6" t="n">
        <v>235</v>
      </c>
      <c r="I46" s="6" t="n">
        <v>640</v>
      </c>
      <c r="J46" s="4" t="n">
        <v>147</v>
      </c>
      <c r="K46" s="7" t="n">
        <v>16</v>
      </c>
      <c r="L46" s="4" t="n">
        <v>87</v>
      </c>
      <c r="M46" s="5" t="inlineStr">
        <is>
          <t>https://stockx.com/nike-sb-dunk-low-born-x-raised-one-block-at-a-time</t>
        </is>
      </c>
      <c r="N46" s="5" t="inlineStr">
        <is>
          <t>StockX 3M market data</t>
        </is>
      </c>
      <c r="O46" s="8">
        <f>IFERROR((G46/F46)^(1/MAX(2026-E46,0.5))-1,"")</f>
        <v/>
      </c>
      <c r="P46" s="9" t="inlineStr">
        <is>
          <t>YES</t>
        </is>
      </c>
    </row>
    <row r="47" ht="20" customHeight="1">
      <c r="A47" s="4" t="inlineStr">
        <is>
          <t>✅ Verified</t>
        </is>
      </c>
      <c r="B47" s="5" t="inlineStr">
        <is>
          <t>Nike SB Dunk Low Chunky Dunky</t>
        </is>
      </c>
      <c r="C47" s="4" t="inlineStr">
        <is>
          <t>Sneaker</t>
        </is>
      </c>
      <c r="D47" s="4" t="inlineStr">
        <is>
          <t>Nike SB</t>
        </is>
      </c>
      <c r="E47" s="4" t="n">
        <v>2020</v>
      </c>
      <c r="F47" s="6" t="n">
        <v>100</v>
      </c>
      <c r="G47" s="6" t="n">
        <v>975</v>
      </c>
      <c r="H47" s="6" t="n">
        <v>975</v>
      </c>
      <c r="I47" s="6" t="n">
        <v>3027</v>
      </c>
      <c r="J47" s="4" t="n">
        <v>55</v>
      </c>
      <c r="K47" s="7" t="n">
        <v>24</v>
      </c>
      <c r="L47" s="4" t="n">
        <v>94</v>
      </c>
      <c r="M47" s="5" t="inlineStr">
        <is>
          <t>https://stockx.com/nike-sb-dunk-low-pro-ben-and-jerrys-chunky-dunky</t>
        </is>
      </c>
      <c r="N47" s="5" t="inlineStr">
        <is>
          <t>StockX real data (collected June 2026)</t>
        </is>
      </c>
      <c r="O47" s="8">
        <f>IFERROR((G47/F47)^(1/MAX(2026-E47,0.5))-1,"")</f>
        <v/>
      </c>
      <c r="P47" s="9" t="inlineStr">
        <is>
          <t>YES</t>
        </is>
      </c>
    </row>
    <row r="48" ht="20" customHeight="1">
      <c r="A48" s="4" t="inlineStr">
        <is>
          <t>✅ Verified</t>
        </is>
      </c>
      <c r="B48" s="5" t="inlineStr">
        <is>
          <t>Nike SB Dunk Low Jarritos</t>
        </is>
      </c>
      <c r="C48" s="4" t="inlineStr">
        <is>
          <t>Sneaker</t>
        </is>
      </c>
      <c r="D48" s="4" t="inlineStr">
        <is>
          <t>Nike SB</t>
        </is>
      </c>
      <c r="E48" s="4" t="n">
        <v>2023</v>
      </c>
      <c r="F48" s="6" t="n">
        <v>130</v>
      </c>
      <c r="G48" s="6" t="n">
        <v>477</v>
      </c>
      <c r="H48" s="6" t="n">
        <v>244</v>
      </c>
      <c r="I48" s="6" t="n">
        <v>1095</v>
      </c>
      <c r="J48" s="4" t="n">
        <v>152</v>
      </c>
      <c r="K48" s="7" t="n">
        <v>21</v>
      </c>
      <c r="L48" s="4" t="n">
        <v>84</v>
      </c>
      <c r="M48" s="5" t="inlineStr">
        <is>
          <t>https://stockx.com/nike-sb-dunk-low-jarritos</t>
        </is>
      </c>
      <c r="N48" s="5" t="inlineStr">
        <is>
          <t>StockX 3M market data</t>
        </is>
      </c>
      <c r="O48" s="8">
        <f>IFERROR((G48/F48)^(1/MAX(2026-E48,0.5))-1,"")</f>
        <v/>
      </c>
      <c r="P48" s="9" t="inlineStr">
        <is>
          <t>YES</t>
        </is>
      </c>
    </row>
    <row r="49" ht="20" customHeight="1">
      <c r="A49" s="4" t="inlineStr">
        <is>
          <t>✅ Verified</t>
        </is>
      </c>
      <c r="B49" s="5" t="inlineStr">
        <is>
          <t>Nike SB Dunk Low Supreme Stars Brown</t>
        </is>
      </c>
      <c r="C49" s="4" t="inlineStr">
        <is>
          <t>Sneaker</t>
        </is>
      </c>
      <c r="D49" s="4" t="inlineStr">
        <is>
          <t>Nike SB</t>
        </is>
      </c>
      <c r="E49" s="4" t="n">
        <v>2021</v>
      </c>
      <c r="F49" s="6" t="n">
        <v>110</v>
      </c>
      <c r="G49" s="6" t="n">
        <v>365</v>
      </c>
      <c r="H49" s="6" t="n">
        <v>273</v>
      </c>
      <c r="I49" s="6" t="n">
        <v>326</v>
      </c>
      <c r="J49" s="4" t="n">
        <v>85</v>
      </c>
      <c r="K49" s="7" t="n">
        <v>19</v>
      </c>
      <c r="L49" s="4" t="n">
        <v>82</v>
      </c>
      <c r="M49" s="5" t="inlineStr">
        <is>
          <t>https://stockx.com/nike-sb-dunk-low-supreme-stars-barkroot-brown</t>
        </is>
      </c>
      <c r="N49" s="5" t="inlineStr">
        <is>
          <t>StockX real data (collected June 2026)</t>
        </is>
      </c>
      <c r="O49" s="8">
        <f>IFERROR((G49/F49)^(1/MAX(2026-E49,0.5))-1,"")</f>
        <v/>
      </c>
      <c r="P49" s="9" t="inlineStr">
        <is>
          <t>YES</t>
        </is>
      </c>
    </row>
    <row r="50" ht="20" customHeight="1">
      <c r="A50" s="4" t="inlineStr">
        <is>
          <t>✅ Verified</t>
        </is>
      </c>
      <c r="B50" s="5" t="inlineStr">
        <is>
          <t>Nike SB Dunk Low Yuto Horigome</t>
        </is>
      </c>
      <c r="C50" s="4" t="inlineStr">
        <is>
          <t>Sneaker</t>
        </is>
      </c>
      <c r="D50" s="4" t="inlineStr">
        <is>
          <t>Nike SB</t>
        </is>
      </c>
      <c r="E50" s="4" t="n">
        <v>2023</v>
      </c>
      <c r="F50" s="6" t="n">
        <v>130</v>
      </c>
      <c r="G50" s="6" t="n">
        <v>234</v>
      </c>
      <c r="H50" s="6" t="n">
        <v>222</v>
      </c>
      <c r="I50" s="6" t="n">
        <v>281</v>
      </c>
      <c r="J50" s="4" t="n">
        <v>420</v>
      </c>
      <c r="K50" s="7" t="n">
        <v>18</v>
      </c>
      <c r="L50" s="4" t="n">
        <v>76</v>
      </c>
      <c r="M50" s="5" t="inlineStr">
        <is>
          <t>https://stockx.com/nike-sb-dunk-low-yuto-horigome</t>
        </is>
      </c>
      <c r="N50" s="5" t="inlineStr">
        <is>
          <t>StockX real data (collected June 2026)</t>
        </is>
      </c>
      <c r="O50" s="8">
        <f>IFERROR((G50/F50)^(1/MAX(2026-E50,0.5))-1,"")</f>
        <v/>
      </c>
      <c r="P50" s="9" t="inlineStr">
        <is>
          <t>YES</t>
        </is>
      </c>
    </row>
    <row r="51" ht="20" customHeight="1">
      <c r="A51" s="4" t="inlineStr">
        <is>
          <t>✅ Verified</t>
        </is>
      </c>
      <c r="B51" s="5" t="inlineStr">
        <is>
          <t>Off-White Jordan 1 Chicago</t>
        </is>
      </c>
      <c r="C51" s="4" t="inlineStr">
        <is>
          <t>Sneaker</t>
        </is>
      </c>
      <c r="D51" s="4" t="inlineStr">
        <is>
          <t>Jordan</t>
        </is>
      </c>
      <c r="E51" s="4" t="n">
        <v>2017</v>
      </c>
      <c r="F51" s="6" t="n">
        <v>190</v>
      </c>
      <c r="G51" s="6" t="n">
        <v>3132</v>
      </c>
      <c r="H51" s="6" t="n">
        <v>2205</v>
      </c>
      <c r="I51" s="6" t="n">
        <v>3875</v>
      </c>
      <c r="J51" s="4" t="n">
        <v>26</v>
      </c>
      <c r="K51" s="7" t="n">
        <v>16</v>
      </c>
      <c r="L51" s="4" t="n">
        <v>96</v>
      </c>
      <c r="M51" s="5" t="inlineStr">
        <is>
          <t>https://stockx.com/air-jordan-1-retro-high-off-white-chicago</t>
        </is>
      </c>
      <c r="N51" s="5" t="inlineStr">
        <is>
          <t>StockX 3M market data</t>
        </is>
      </c>
      <c r="O51" s="8">
        <f>IFERROR((G51/F51)^(1/MAX(2026-E51,0.5))-1,"")</f>
        <v/>
      </c>
      <c r="P51" s="9" t="inlineStr">
        <is>
          <t>YES</t>
        </is>
      </c>
    </row>
    <row r="52" ht="20" customHeight="1">
      <c r="A52" s="4" t="inlineStr">
        <is>
          <t>✅ Verified</t>
        </is>
      </c>
      <c r="B52" s="5" t="inlineStr">
        <is>
          <t>Travis Scott Jordan 1 High Mocha</t>
        </is>
      </c>
      <c r="C52" s="4" t="inlineStr">
        <is>
          <t>Sneaker</t>
        </is>
      </c>
      <c r="D52" s="4" t="inlineStr">
        <is>
          <t>Jordan</t>
        </is>
      </c>
      <c r="E52" s="4" t="n">
        <v>2019</v>
      </c>
      <c r="F52" s="6" t="n">
        <v>175</v>
      </c>
      <c r="G52" s="6" t="n">
        <v>1197</v>
      </c>
      <c r="H52" s="6" t="n">
        <v>890</v>
      </c>
      <c r="I52" s="6" t="n">
        <v>1106</v>
      </c>
      <c r="J52" s="4" t="n">
        <v>90</v>
      </c>
      <c r="K52" s="7" t="n">
        <v>20</v>
      </c>
      <c r="L52" s="4" t="n">
        <v>94</v>
      </c>
      <c r="M52" s="5" t="inlineStr">
        <is>
          <t>https://stockx.com/air-jordan-1-retro-high-travis-scott</t>
        </is>
      </c>
      <c r="N52" s="5" t="inlineStr">
        <is>
          <t>StockX real data (collected June 2026)</t>
        </is>
      </c>
      <c r="O52" s="8">
        <f>IFERROR((G52/F52)^(1/MAX(2026-E52,0.5))-1,"")</f>
        <v/>
      </c>
      <c r="P52" s="9" t="inlineStr">
        <is>
          <t>YES</t>
        </is>
      </c>
    </row>
    <row r="53" ht="20" customHeight="1">
      <c r="A53" s="4" t="inlineStr">
        <is>
          <t>✅ Verified</t>
        </is>
      </c>
      <c r="B53" s="5" t="inlineStr">
        <is>
          <t>Travis Scott Jordan 1 Low Black Phantom</t>
        </is>
      </c>
      <c r="C53" s="4" t="inlineStr">
        <is>
          <t>Sneaker</t>
        </is>
      </c>
      <c r="D53" s="4" t="inlineStr">
        <is>
          <t>Jordan</t>
        </is>
      </c>
      <c r="E53" s="4" t="n">
        <v>2022</v>
      </c>
      <c r="F53" s="6" t="n">
        <v>150</v>
      </c>
      <c r="G53" s="6" t="n">
        <v>956</v>
      </c>
      <c r="H53" s="6" t="n">
        <v>392</v>
      </c>
      <c r="I53" s="6" t="n">
        <v>1700</v>
      </c>
      <c r="J53" s="4" t="n">
        <v>316</v>
      </c>
      <c r="K53" s="7" t="n">
        <v>14</v>
      </c>
      <c r="L53" s="4" t="n">
        <v>92</v>
      </c>
      <c r="M53" s="5" t="inlineStr">
        <is>
          <t>https://stockx.com/air-jordan-1-retro-low-og-sp-travis-scott-black-phantom</t>
        </is>
      </c>
      <c r="N53" s="5" t="inlineStr">
        <is>
          <t>StockX 3M market data</t>
        </is>
      </c>
      <c r="O53" s="8">
        <f>IFERROR((G53/F53)^(1/MAX(2026-E53,0.5))-1,"")</f>
        <v/>
      </c>
      <c r="P53" s="9" t="inlineStr">
        <is>
          <t>YES</t>
        </is>
      </c>
    </row>
    <row r="54" ht="20" customHeight="1">
      <c r="A54" s="4" t="inlineStr">
        <is>
          <t>✅ Verified</t>
        </is>
      </c>
      <c r="B54" s="5" t="inlineStr">
        <is>
          <t>Travis Scott Jordan 1 Low Fragment</t>
        </is>
      </c>
      <c r="C54" s="4" t="inlineStr">
        <is>
          <t>Sneaker</t>
        </is>
      </c>
      <c r="D54" s="4" t="inlineStr">
        <is>
          <t>Jordan</t>
        </is>
      </c>
      <c r="E54" s="4" t="n">
        <v>2021</v>
      </c>
      <c r="F54" s="6" t="n">
        <v>150</v>
      </c>
      <c r="G54" s="6" t="n">
        <v>1089</v>
      </c>
      <c r="H54" s="6" t="n">
        <v>1089</v>
      </c>
      <c r="I54" s="6" t="n">
        <v>2750</v>
      </c>
      <c r="J54" s="4" t="n">
        <v>130</v>
      </c>
      <c r="K54" s="7" t="n">
        <v>22</v>
      </c>
      <c r="L54" s="4" t="n">
        <v>95</v>
      </c>
      <c r="M54" s="5" t="inlineStr">
        <is>
          <t>https://stockx.com/air-jordan-1-low-fragment-design-x-travis-scott</t>
        </is>
      </c>
      <c r="N54" s="5" t="inlineStr">
        <is>
          <t>StockX real data (collected June 2026)</t>
        </is>
      </c>
      <c r="O54" s="8">
        <f>IFERROR((G54/F54)^(1/MAX(2026-E54,0.5))-1,"")</f>
        <v/>
      </c>
      <c r="P54" s="9" t="inlineStr">
        <is>
          <t>YES</t>
        </is>
      </c>
    </row>
    <row r="55" ht="20" customHeight="1">
      <c r="A55" s="4" t="inlineStr">
        <is>
          <t>✅ Verified</t>
        </is>
      </c>
      <c r="B55" s="5" t="inlineStr">
        <is>
          <t>Travis Scott Jordan 1 Low Reverse Mocha</t>
        </is>
      </c>
      <c r="C55" s="4" t="inlineStr">
        <is>
          <t>Sneaker</t>
        </is>
      </c>
      <c r="D55" s="4" t="inlineStr">
        <is>
          <t>Jordan</t>
        </is>
      </c>
      <c r="E55" s="4" t="n">
        <v>2022</v>
      </c>
      <c r="F55" s="6" t="n">
        <v>150</v>
      </c>
      <c r="G55" s="6" t="n">
        <v>1261</v>
      </c>
      <c r="H55" s="6" t="n">
        <v>1145</v>
      </c>
      <c r="I55" s="6" t="n">
        <v>1610</v>
      </c>
      <c r="J55" s="4" t="n">
        <v>260</v>
      </c>
      <c r="K55" s="7" t="n">
        <v>18</v>
      </c>
      <c r="L55" s="4" t="n">
        <v>90</v>
      </c>
      <c r="M55" s="5" t="inlineStr">
        <is>
          <t>https://stockx.com/air-jordan-1-retro-low-og-sp-travis-scott-reverse-mocha</t>
        </is>
      </c>
      <c r="N55" s="5" t="inlineStr">
        <is>
          <t>StockX real data (collected June 2026)</t>
        </is>
      </c>
      <c r="O55" s="8">
        <f>IFERROR((G55/F55)^(1/MAX(2026-E55,0.5))-1,"")</f>
        <v/>
      </c>
      <c r="P55" s="9" t="inlineStr">
        <is>
          <t>YES</t>
        </is>
      </c>
    </row>
    <row r="56" ht="20" customHeight="1">
      <c r="A56" s="4" t="inlineStr">
        <is>
          <t>✅ Verified</t>
        </is>
      </c>
      <c r="B56" s="5" t="inlineStr">
        <is>
          <t>Yeezy 350 V2 Zebra</t>
        </is>
      </c>
      <c r="C56" s="4" t="inlineStr">
        <is>
          <t>Sneaker</t>
        </is>
      </c>
      <c r="D56" s="4" t="inlineStr">
        <is>
          <t>Adidas Yeezy</t>
        </is>
      </c>
      <c r="E56" s="4" t="n">
        <v>2017</v>
      </c>
      <c r="F56" s="6" t="n">
        <v>220</v>
      </c>
      <c r="G56" s="6" t="n">
        <v>275</v>
      </c>
      <c r="H56" s="6" t="n">
        <v>118</v>
      </c>
      <c r="I56" s="6" t="n">
        <v>619</v>
      </c>
      <c r="J56" s="4" t="n">
        <v>688</v>
      </c>
      <c r="K56" s="7" t="n">
        <v>15</v>
      </c>
      <c r="L56" s="4" t="n">
        <v>54</v>
      </c>
      <c r="M56" s="5" t="inlineStr">
        <is>
          <t>https://stockx.com/adidas-yeezy-boost-350-v2-white-core-black-red</t>
        </is>
      </c>
      <c r="N56" s="5" t="inlineStr">
        <is>
          <t>StockX 3M market data</t>
        </is>
      </c>
      <c r="O56" s="8">
        <f>IFERROR((G56/F56)^(1/MAX(2026-E56,0.5))-1,"")</f>
        <v/>
      </c>
      <c r="P56" s="9" t="inlineStr">
        <is>
          <t>YES</t>
        </is>
      </c>
    </row>
    <row r="57" ht="20" customHeight="1">
      <c r="A57" s="4" t="inlineStr">
        <is>
          <t>✅ Verified</t>
        </is>
      </c>
      <c r="B57" s="5" t="inlineStr">
        <is>
          <t>Yeezy 700 Wave Runner</t>
        </is>
      </c>
      <c r="C57" s="4" t="inlineStr">
        <is>
          <t>Sneaker</t>
        </is>
      </c>
      <c r="D57" s="4" t="inlineStr">
        <is>
          <t>Adidas Yeezy</t>
        </is>
      </c>
      <c r="E57" s="4" t="n">
        <v>2017</v>
      </c>
      <c r="F57" s="6" t="n">
        <v>300</v>
      </c>
      <c r="G57" s="6" t="n">
        <v>327</v>
      </c>
      <c r="H57" s="6" t="n">
        <v>146</v>
      </c>
      <c r="I57" s="6" t="n">
        <v>651</v>
      </c>
      <c r="J57" s="4" t="n">
        <v>664</v>
      </c>
      <c r="K57" s="7" t="n">
        <v>22</v>
      </c>
      <c r="L57" s="4" t="n">
        <v>62</v>
      </c>
      <c r="M57" s="5" t="inlineStr">
        <is>
          <t>https://stockx.com/adidas-yeezy-wave-runner-700-solid-grey</t>
        </is>
      </c>
      <c r="N57" s="5" t="inlineStr">
        <is>
          <t>StockX 3M market data</t>
        </is>
      </c>
      <c r="O57" s="8">
        <f>IFERROR((G57/F57)^(1/MAX(2026-E57,0.5))-1,"")</f>
        <v/>
      </c>
      <c r="P57" s="9" t="inlineStr">
        <is>
          <t>YES</t>
        </is>
      </c>
    </row>
    <row r="58" ht="20" customHeight="1">
      <c r="A58" s="4" t="inlineStr">
        <is>
          <t>✅ Verified</t>
        </is>
      </c>
      <c r="B58" s="5" t="inlineStr">
        <is>
          <t>BAPE 1st Camo Shark Full Zip Hoodie Green</t>
        </is>
      </c>
      <c r="C58" s="4" t="inlineStr">
        <is>
          <t>Streetwear</t>
        </is>
      </c>
      <c r="D58" s="4" t="inlineStr">
        <is>
          <t>BAPE</t>
        </is>
      </c>
      <c r="E58" s="4" t="n">
        <v>2018</v>
      </c>
      <c r="F58" s="6" t="n">
        <v>499</v>
      </c>
      <c r="G58" s="6" t="n">
        <v>395</v>
      </c>
      <c r="H58" s="6" t="n">
        <v>395</v>
      </c>
      <c r="I58" s="6" t="n">
        <v>395</v>
      </c>
      <c r="J58" s="4" t="n">
        <v>1</v>
      </c>
      <c r="K58" s="7" t="n">
        <v>5</v>
      </c>
      <c r="L58" s="4" t="n">
        <v>63</v>
      </c>
      <c r="M58" s="5" t="inlineStr">
        <is>
          <t>https://stockx.com/bape-1st-camo-shark-full-zip-hoodie-green</t>
        </is>
      </c>
      <c r="N58" s="5" t="inlineStr">
        <is>
          <t>StockX 3M market data</t>
        </is>
      </c>
      <c r="O58" s="8">
        <f>IFERROR((G58/F58)^(1/MAX(2026-E58,0.5))-1,"")</f>
        <v/>
      </c>
      <c r="P58" s="9" t="inlineStr">
        <is>
          <t>YES</t>
        </is>
      </c>
    </row>
    <row r="59" ht="20" customHeight="1">
      <c r="A59" s="4" t="inlineStr">
        <is>
          <t>✅ Verified</t>
        </is>
      </c>
      <c r="B59" s="5" t="inlineStr">
        <is>
          <t>BAPE Shark Full Zip Hoodie Black</t>
        </is>
      </c>
      <c r="C59" s="4" t="inlineStr">
        <is>
          <t>Streetwear</t>
        </is>
      </c>
      <c r="D59" s="4" t="inlineStr">
        <is>
          <t>BAPE</t>
        </is>
      </c>
      <c r="E59" s="4" t="n">
        <v>2025</v>
      </c>
      <c r="F59" s="6" t="n">
        <v>330</v>
      </c>
      <c r="G59" s="6" t="n">
        <v>526</v>
      </c>
      <c r="H59" s="6" t="n">
        <v>526</v>
      </c>
      <c r="I59" s="6" t="n">
        <v>526</v>
      </c>
      <c r="J59" s="4" t="n">
        <v>1</v>
      </c>
      <c r="K59" s="7" t="n">
        <v>17</v>
      </c>
      <c r="L59" s="4" t="n">
        <v>64</v>
      </c>
      <c r="M59" s="5" t="inlineStr">
        <is>
          <t>https://stockx.com/bape-shark-full-zip-hoodie-black</t>
        </is>
      </c>
      <c r="N59" s="5" t="inlineStr">
        <is>
          <t>StockX 3M market data</t>
        </is>
      </c>
      <c r="O59" s="8">
        <f>IFERROR((G59/F59)^(1/MAX(2026-E59,0.5))-1,"")</f>
        <v/>
      </c>
      <c r="P59" s="9" t="inlineStr">
        <is>
          <t>YES</t>
        </is>
      </c>
    </row>
    <row r="60" ht="20" customHeight="1">
      <c r="A60" s="4" t="inlineStr">
        <is>
          <t>✅ Verified</t>
        </is>
      </c>
      <c r="B60" s="5" t="inlineStr">
        <is>
          <t>BAPE Shark Full Zip Hoodie Green Camo</t>
        </is>
      </c>
      <c r="C60" s="4" t="inlineStr">
        <is>
          <t>Streetwear</t>
        </is>
      </c>
      <c r="D60" s="4" t="inlineStr">
        <is>
          <t>BAPE</t>
        </is>
      </c>
      <c r="E60" s="4" t="n">
        <v>2023</v>
      </c>
      <c r="F60" s="6" t="n">
        <v>303</v>
      </c>
      <c r="G60" s="6" t="n">
        <v>425</v>
      </c>
      <c r="H60" s="6" t="n">
        <v>303</v>
      </c>
      <c r="I60" s="6" t="n">
        <v>450</v>
      </c>
      <c r="J60" s="4" t="n">
        <v>8</v>
      </c>
      <c r="K60" s="7" t="n">
        <v>20</v>
      </c>
      <c r="L60" s="4" t="n">
        <v>65</v>
      </c>
      <c r="M60" s="5" t="inlineStr">
        <is>
          <t>https://stockx.com/bape-1st-camo-shark-full-zip-hoodie-green-camo</t>
        </is>
      </c>
      <c r="N60" s="5" t="inlineStr">
        <is>
          <t>StockX real data (collected June 2026)</t>
        </is>
      </c>
      <c r="O60" s="8">
        <f>IFERROR((G60/F60)^(1/MAX(2026-E60,0.5))-1,"")</f>
        <v/>
      </c>
      <c r="P60" s="9" t="inlineStr">
        <is>
          <t>YES</t>
        </is>
      </c>
    </row>
    <row r="61" ht="20" customHeight="1">
      <c r="A61" s="4" t="inlineStr">
        <is>
          <t>✅ Verified</t>
        </is>
      </c>
      <c r="B61" s="5" t="inlineStr">
        <is>
          <t>CPFM Born Again Hooded Sweatshirt Blue</t>
        </is>
      </c>
      <c r="C61" s="4" t="inlineStr">
        <is>
          <t>Streetwear</t>
        </is>
      </c>
      <c r="D61" s="4" t="inlineStr">
        <is>
          <t>CPFM</t>
        </is>
      </c>
      <c r="E61" s="4" t="n">
        <v>2019</v>
      </c>
      <c r="F61" s="6" t="n">
        <v>240</v>
      </c>
      <c r="G61" s="6" t="n">
        <v>139</v>
      </c>
      <c r="H61" s="6" t="n">
        <v>138</v>
      </c>
      <c r="I61" s="6" t="n">
        <v>138</v>
      </c>
      <c r="J61" s="4" t="n">
        <v>1</v>
      </c>
      <c r="K61" s="7" t="n">
        <v>164</v>
      </c>
      <c r="L61" s="4" t="n">
        <v>52</v>
      </c>
      <c r="M61" s="5" t="inlineStr">
        <is>
          <t>https://stockx.com/cactus-plant-flea-market-born-again-hooded-sweatshirt-blue</t>
        </is>
      </c>
      <c r="N61" s="5" t="inlineStr">
        <is>
          <t>StockX 3M market data</t>
        </is>
      </c>
      <c r="O61" s="8">
        <f>IFERROR((G61/F61)^(1/MAX(2026-E61,0.5))-1,"")</f>
        <v/>
      </c>
      <c r="P61" s="9" t="inlineStr">
        <is>
          <t>YES</t>
        </is>
      </c>
    </row>
    <row r="62" ht="20" customHeight="1">
      <c r="A62" s="4" t="inlineStr">
        <is>
          <t>✅ Verified</t>
        </is>
      </c>
      <c r="B62" s="5" t="inlineStr">
        <is>
          <t>CPFM Born Again Hooded Sweatshirt Orange</t>
        </is>
      </c>
      <c r="C62" s="4" t="inlineStr">
        <is>
          <t>Streetwear</t>
        </is>
      </c>
      <c r="D62" s="4" t="inlineStr">
        <is>
          <t>CPFM</t>
        </is>
      </c>
      <c r="E62" s="4" t="n">
        <v>2019</v>
      </c>
      <c r="F62" s="6" t="n">
        <v>240</v>
      </c>
      <c r="G62" s="6" t="n">
        <v>240</v>
      </c>
      <c r="H62" s="6" t="n">
        <v>239</v>
      </c>
      <c r="I62" s="6" t="n">
        <v>239</v>
      </c>
      <c r="J62" s="4" t="n">
        <v>1</v>
      </c>
      <c r="K62" s="7" t="n">
        <v>31</v>
      </c>
      <c r="L62" s="4" t="n">
        <v>56</v>
      </c>
      <c r="M62" s="5" t="inlineStr">
        <is>
          <t>https://stockx.com/cactus-plant-flea-market-born-again-hooded-sweatshirt-orange</t>
        </is>
      </c>
      <c r="N62" s="5" t="inlineStr">
        <is>
          <t>StockX 3M market data</t>
        </is>
      </c>
      <c r="O62" s="8">
        <f>IFERROR((G62/F62)^(1/MAX(2026-E62,0.5))-1,"")</f>
        <v/>
      </c>
      <c r="P62" s="9" t="inlineStr">
        <is>
          <t>YES</t>
        </is>
      </c>
    </row>
    <row r="63" ht="20" customHeight="1">
      <c r="A63" s="4" t="inlineStr">
        <is>
          <t>✅ Verified</t>
        </is>
      </c>
      <c r="B63" s="5" t="inlineStr">
        <is>
          <t>CPFM Born Again Hooded Sweatshirt Red</t>
        </is>
      </c>
      <c r="C63" s="4" t="inlineStr">
        <is>
          <t>Streetwear</t>
        </is>
      </c>
      <c r="D63" s="4" t="inlineStr">
        <is>
          <t>CPFM</t>
        </is>
      </c>
      <c r="E63" s="4" t="n">
        <v>2019</v>
      </c>
      <c r="F63" s="6" t="n">
        <v>240</v>
      </c>
      <c r="G63" s="6" t="n">
        <v>249</v>
      </c>
      <c r="H63" s="6" t="n">
        <v>249</v>
      </c>
      <c r="I63" s="6" t="n">
        <v>249</v>
      </c>
      <c r="J63" s="4" t="n">
        <v>1</v>
      </c>
      <c r="K63" s="7" t="n">
        <v>3</v>
      </c>
      <c r="L63" s="4" t="n">
        <v>58</v>
      </c>
      <c r="M63" s="5" t="inlineStr">
        <is>
          <t>https://stockx.com/cactus-plant-flea-market-born-again-hooded-sweatshirt-red</t>
        </is>
      </c>
      <c r="N63" s="5" t="inlineStr">
        <is>
          <t>StockX 3M market data</t>
        </is>
      </c>
      <c r="O63" s="8">
        <f>IFERROR((G63/F63)^(1/MAX(2026-E63,0.5))-1,"")</f>
        <v/>
      </c>
      <c r="P63" s="9" t="inlineStr">
        <is>
          <t>YES</t>
        </is>
      </c>
    </row>
    <row r="64" ht="20" customHeight="1">
      <c r="A64" s="4" t="inlineStr">
        <is>
          <t>✅ Verified</t>
        </is>
      </c>
      <c r="B64" s="5" t="inlineStr">
        <is>
          <t>CPFM Ye Must Be Born Again Hoodie</t>
        </is>
      </c>
      <c r="C64" s="4" t="inlineStr">
        <is>
          <t>Streetwear</t>
        </is>
      </c>
      <c r="D64" s="4" t="inlineStr">
        <is>
          <t>CPFM</t>
        </is>
      </c>
      <c r="E64" s="4" t="n">
        <v>2020</v>
      </c>
      <c r="F64" s="6" t="n">
        <v>240</v>
      </c>
      <c r="G64" s="6" t="n">
        <v>250</v>
      </c>
      <c r="H64" s="6" t="n">
        <v>139</v>
      </c>
      <c r="I64" s="6" t="n">
        <v>320</v>
      </c>
      <c r="J64" s="4" t="n">
        <v>14</v>
      </c>
      <c r="K64" s="7" t="n">
        <v>25</v>
      </c>
      <c r="L64" s="4" t="n">
        <v>72</v>
      </c>
      <c r="M64" s="5" t="inlineStr">
        <is>
          <t>https://stockx.com/cactus-plant-flea-market-born-again-hooded-sweatshirt-black</t>
        </is>
      </c>
      <c r="N64" s="5" t="inlineStr">
        <is>
          <t>StockX real data (collected June 2026)</t>
        </is>
      </c>
      <c r="O64" s="8">
        <f>IFERROR((G64/F64)^(1/MAX(2026-E64,0.5))-1,"")</f>
        <v/>
      </c>
      <c r="P64" s="9" t="inlineStr">
        <is>
          <t>YES</t>
        </is>
      </c>
    </row>
    <row r="65" ht="20" customHeight="1">
      <c r="A65" s="4" t="inlineStr">
        <is>
          <t>✅ Verified</t>
        </is>
      </c>
      <c r="B65" s="5" t="inlineStr">
        <is>
          <t>Corteiz 4Starz Alcatraz Tracksuit Black</t>
        </is>
      </c>
      <c r="C65" s="4" t="inlineStr">
        <is>
          <t>Streetwear</t>
        </is>
      </c>
      <c r="D65" s="4" t="inlineStr">
        <is>
          <t>Corteiz</t>
        </is>
      </c>
      <c r="E65" s="4" t="n">
        <v>2022</v>
      </c>
      <c r="F65" s="6" t="n">
        <v>144</v>
      </c>
      <c r="G65" s="6" t="n">
        <v>164</v>
      </c>
      <c r="H65" s="6" t="n">
        <v>15</v>
      </c>
      <c r="I65" s="6" t="n">
        <v>240</v>
      </c>
      <c r="J65" s="4" t="n">
        <v>12</v>
      </c>
      <c r="K65" s="7" t="n">
        <v>34</v>
      </c>
      <c r="L65" s="4" t="n">
        <v>72</v>
      </c>
      <c r="M65" s="5" t="inlineStr">
        <is>
          <t>https://stockx.com/corteiz-4starz-alcatraz-hoodie-black</t>
        </is>
      </c>
      <c r="N65" s="5" t="inlineStr">
        <is>
          <t>StockX real data (collected June 2026)</t>
        </is>
      </c>
      <c r="O65" s="8">
        <f>IFERROR((G65/F65)^(1/MAX(2026-E65,0.5))-1,"")</f>
        <v/>
      </c>
      <c r="P65" s="9" t="inlineStr">
        <is>
          <t>YES</t>
        </is>
      </c>
    </row>
    <row r="66" ht="20" customHeight="1">
      <c r="A66" s="4" t="inlineStr">
        <is>
          <t>✅ Verified</t>
        </is>
      </c>
      <c r="B66" s="5" t="inlineStr">
        <is>
          <t>Corteiz Alcatraz Hoodie Black</t>
        </is>
      </c>
      <c r="C66" s="4" t="inlineStr">
        <is>
          <t>Streetwear</t>
        </is>
      </c>
      <c r="D66" s="4" t="inlineStr">
        <is>
          <t>Corteiz</t>
        </is>
      </c>
      <c r="E66" s="4" t="n">
        <v>2024</v>
      </c>
      <c r="F66" s="6" t="n">
        <v>147</v>
      </c>
      <c r="G66" s="6" t="n">
        <v>183</v>
      </c>
      <c r="H66" s="6" t="n">
        <v>20</v>
      </c>
      <c r="I66" s="6" t="n">
        <v>314</v>
      </c>
      <c r="J66" s="4" t="n">
        <v>18</v>
      </c>
      <c r="K66" s="7" t="n">
        <v>32</v>
      </c>
      <c r="L66" s="4" t="n">
        <v>70</v>
      </c>
      <c r="M66" s="5" t="inlineStr">
        <is>
          <t>https://stockx.com/corteiz-alcatraz-hoodie-black</t>
        </is>
      </c>
      <c r="N66" s="5" t="inlineStr">
        <is>
          <t>StockX real data (collected June 2026)</t>
        </is>
      </c>
      <c r="O66" s="8">
        <f>IFERROR((G66/F66)^(1/MAX(2026-E66,0.5))-1,"")</f>
        <v/>
      </c>
      <c r="P66" s="9" t="inlineStr">
        <is>
          <t>YES</t>
        </is>
      </c>
    </row>
    <row r="67" ht="20" customHeight="1">
      <c r="A67" s="4" t="inlineStr">
        <is>
          <t>✅ Verified</t>
        </is>
      </c>
      <c r="B67" s="5" t="inlineStr">
        <is>
          <t>Denim Tears Cotton Wreath Hoodie Grey</t>
        </is>
      </c>
      <c r="C67" s="4" t="inlineStr">
        <is>
          <t>Streetwear</t>
        </is>
      </c>
      <c r="D67" s="4" t="inlineStr">
        <is>
          <t>Denim Tears</t>
        </is>
      </c>
      <c r="E67" s="4" t="n">
        <v>2023</v>
      </c>
      <c r="F67" s="6" t="n">
        <v>210</v>
      </c>
      <c r="G67" s="6" t="n">
        <v>258</v>
      </c>
      <c r="H67" s="6" t="n">
        <v>149</v>
      </c>
      <c r="I67" s="6" t="n">
        <v>250</v>
      </c>
      <c r="J67" s="4" t="n">
        <v>16</v>
      </c>
      <c r="K67" s="7" t="n">
        <v>24</v>
      </c>
      <c r="L67" s="4" t="n">
        <v>66</v>
      </c>
      <c r="M67" s="5" t="inlineStr">
        <is>
          <t>https://stockx.com/denim-tears-the-cotton-wreath-sweatshirt-grey</t>
        </is>
      </c>
      <c r="N67" s="5" t="inlineStr">
        <is>
          <t>StockX real data (collected June 2026)</t>
        </is>
      </c>
      <c r="O67" s="8">
        <f>IFERROR((G67/F67)^(1/MAX(2026-E67,0.5))-1,"")</f>
        <v/>
      </c>
      <c r="P67" s="9" t="inlineStr">
        <is>
          <t>YES</t>
        </is>
      </c>
    </row>
    <row r="68" ht="20" customHeight="1">
      <c r="A68" s="4" t="inlineStr">
        <is>
          <t>✅ Verified</t>
        </is>
      </c>
      <c r="B68" s="5" t="inlineStr">
        <is>
          <t>Denim Tears Cotton Wreath Sweatpants Grey</t>
        </is>
      </c>
      <c r="C68" s="4" t="inlineStr">
        <is>
          <t>Streetwear</t>
        </is>
      </c>
      <c r="D68" s="4" t="inlineStr">
        <is>
          <t>Denim Tears</t>
        </is>
      </c>
      <c r="E68" s="4" t="n">
        <v>2023</v>
      </c>
      <c r="F68" s="6" t="n">
        <v>190</v>
      </c>
      <c r="G68" s="6" t="n">
        <v>229</v>
      </c>
      <c r="H68" s="6" t="n">
        <v>73</v>
      </c>
      <c r="I68" s="6" t="n">
        <v>225</v>
      </c>
      <c r="J68" s="4" t="n">
        <v>12</v>
      </c>
      <c r="K68" s="7" t="n">
        <v>23</v>
      </c>
      <c r="L68" s="4" t="n">
        <v>62</v>
      </c>
      <c r="M68" s="5" t="inlineStr">
        <is>
          <t>https://stockx.com/denim-tears-the-cotton-wreath-sweatpants-grey</t>
        </is>
      </c>
      <c r="N68" s="5" t="inlineStr">
        <is>
          <t>StockX real data (collected June 2026)</t>
        </is>
      </c>
      <c r="O68" s="8">
        <f>IFERROR((G68/F68)^(1/MAX(2026-E68,0.5))-1,"")</f>
        <v/>
      </c>
      <c r="P68" s="9" t="inlineStr">
        <is>
          <t>YES</t>
        </is>
      </c>
    </row>
    <row r="69" ht="20" customHeight="1">
      <c r="A69" s="4" t="inlineStr">
        <is>
          <t>✅ Verified</t>
        </is>
      </c>
      <c r="B69" s="5" t="inlineStr">
        <is>
          <t>Denim Tears Cotton Wreath Zip Hoodie Grey</t>
        </is>
      </c>
      <c r="C69" s="4" t="inlineStr">
        <is>
          <t>Streetwear</t>
        </is>
      </c>
      <c r="D69" s="4" t="inlineStr">
        <is>
          <t>Denim Tears</t>
        </is>
      </c>
      <c r="E69" s="4" t="n">
        <v>2025</v>
      </c>
      <c r="F69" s="6" t="n">
        <v>210</v>
      </c>
      <c r="G69" s="6" t="n">
        <v>214</v>
      </c>
      <c r="H69" s="6" t="n">
        <v>150</v>
      </c>
      <c r="I69" s="6" t="n">
        <v>288</v>
      </c>
      <c r="J69" s="4" t="n">
        <v>37</v>
      </c>
      <c r="K69" s="7" t="n">
        <v>18</v>
      </c>
      <c r="L69" s="4" t="n">
        <v>64</v>
      </c>
      <c r="M69" s="5" t="inlineStr">
        <is>
          <t>https://stockx.com/denim-tears-cotton-wreath-zip-hoodie-grey</t>
        </is>
      </c>
      <c r="N69" s="5" t="inlineStr">
        <is>
          <t>StockX 3M market data</t>
        </is>
      </c>
      <c r="O69" s="8">
        <f>IFERROR((G69/F69)^(1/MAX(2026-E69,0.5))-1,"")</f>
        <v/>
      </c>
      <c r="P69" s="9" t="inlineStr">
        <is>
          <t>YES</t>
        </is>
      </c>
    </row>
    <row r="70" ht="20" customHeight="1">
      <c r="A70" s="4" t="inlineStr">
        <is>
          <t>✅ Verified</t>
        </is>
      </c>
      <c r="B70" s="5" t="inlineStr">
        <is>
          <t>Denim Tears The Cotton Wreath Sweatshirt Grey</t>
        </is>
      </c>
      <c r="C70" s="4" t="inlineStr">
        <is>
          <t>Streetwear</t>
        </is>
      </c>
      <c r="D70" s="4" t="inlineStr">
        <is>
          <t>Denim Tears</t>
        </is>
      </c>
      <c r="E70" s="4" t="n">
        <v>2023</v>
      </c>
      <c r="F70" s="6" t="n">
        <v>210</v>
      </c>
      <c r="G70" s="6" t="n">
        <v>272</v>
      </c>
      <c r="H70" s="6" t="n">
        <v>161</v>
      </c>
      <c r="I70" s="6" t="n">
        <v>446</v>
      </c>
      <c r="J70" s="4" t="n">
        <v>100</v>
      </c>
      <c r="K70" s="7" t="n">
        <v>50</v>
      </c>
      <c r="L70" s="4" t="n">
        <v>66</v>
      </c>
      <c r="M70" s="5" t="inlineStr">
        <is>
          <t>https://stockx.com/denim-tears-the-cotton-wreath-sweatshirt-grey</t>
        </is>
      </c>
      <c r="N70" s="5" t="inlineStr">
        <is>
          <t>StockX 3M market data</t>
        </is>
      </c>
      <c r="O70" s="8">
        <f>IFERROR((G70/F70)^(1/MAX(2026-E70,0.5))-1,"")</f>
        <v/>
      </c>
      <c r="P70" s="9" t="inlineStr">
        <is>
          <t>YES</t>
        </is>
      </c>
    </row>
    <row r="71" ht="20" customHeight="1">
      <c r="A71" s="4" t="inlineStr">
        <is>
          <t>✅ Verified</t>
        </is>
      </c>
      <c r="B71" s="5" t="inlineStr">
        <is>
          <t>Denim Tears x Levi's Cotton Wreath Jeans Black</t>
        </is>
      </c>
      <c r="C71" s="4" t="inlineStr">
        <is>
          <t>Streetwear</t>
        </is>
      </c>
      <c r="D71" s="4" t="inlineStr">
        <is>
          <t>Denim Tears</t>
        </is>
      </c>
      <c r="E71" s="4" t="n">
        <v>2021</v>
      </c>
      <c r="F71" s="6" t="n">
        <v>295</v>
      </c>
      <c r="G71" s="6" t="n">
        <v>325</v>
      </c>
      <c r="H71" s="6" t="n">
        <v>215</v>
      </c>
      <c r="I71" s="6" t="n">
        <v>440</v>
      </c>
      <c r="J71" s="4" t="n">
        <v>7</v>
      </c>
      <c r="K71" s="7" t="n">
        <v>23</v>
      </c>
      <c r="L71" s="4" t="n">
        <v>75</v>
      </c>
      <c r="M71" s="5" t="inlineStr">
        <is>
          <t>https://stockx.com/denim-tears-x-levis-cotton-wreath-jean-black</t>
        </is>
      </c>
      <c r="N71" s="5" t="inlineStr">
        <is>
          <t>StockX 3M market data</t>
        </is>
      </c>
      <c r="O71" s="8">
        <f>IFERROR((G71/F71)^(1/MAX(2026-E71,0.5))-1,"")</f>
        <v/>
      </c>
      <c r="P71" s="9" t="inlineStr">
        <is>
          <t>YES</t>
        </is>
      </c>
    </row>
    <row r="72" ht="20" customHeight="1">
      <c r="A72" s="4" t="inlineStr">
        <is>
          <t>✅ Verified</t>
        </is>
      </c>
      <c r="B72" s="5" t="inlineStr">
        <is>
          <t>Denim Tears x Levi's Cotton Wreath Jeans Indigo</t>
        </is>
      </c>
      <c r="C72" s="4" t="inlineStr">
        <is>
          <t>Streetwear</t>
        </is>
      </c>
      <c r="D72" s="4" t="inlineStr">
        <is>
          <t>Denim Tears</t>
        </is>
      </c>
      <c r="E72" s="4" t="n">
        <v>2021</v>
      </c>
      <c r="F72" s="6" t="n">
        <v>295</v>
      </c>
      <c r="G72" s="6" t="n">
        <v>293</v>
      </c>
      <c r="H72" s="6" t="n">
        <v>292</v>
      </c>
      <c r="I72" s="6" t="n">
        <v>292</v>
      </c>
      <c r="J72" s="4" t="n">
        <v>1</v>
      </c>
      <c r="K72" s="7" t="n">
        <v>39</v>
      </c>
      <c r="L72" s="4" t="n">
        <v>60</v>
      </c>
      <c r="M72" s="5" t="inlineStr">
        <is>
          <t>https://stockx.com/denim-tears-x-levis-cotton-wreath-jean-indigo</t>
        </is>
      </c>
      <c r="N72" s="5" t="inlineStr">
        <is>
          <t>StockX 3M market data</t>
        </is>
      </c>
      <c r="O72" s="8">
        <f>IFERROR((G72/F72)^(1/MAX(2026-E72,0.5))-1,"")</f>
        <v/>
      </c>
      <c r="P72" s="9" t="inlineStr">
        <is>
          <t>YES</t>
        </is>
      </c>
    </row>
    <row r="73" ht="20" customHeight="1">
      <c r="A73" s="4" t="inlineStr">
        <is>
          <t>✅ Verified</t>
        </is>
      </c>
      <c r="B73" s="5" t="inlineStr">
        <is>
          <t>Denim Tears x Levi's Cotton Wreath Jeans Light Wash</t>
        </is>
      </c>
      <c r="C73" s="4" t="inlineStr">
        <is>
          <t>Streetwear</t>
        </is>
      </c>
      <c r="D73" s="4" t="inlineStr">
        <is>
          <t>Denim Tears</t>
        </is>
      </c>
      <c r="E73" s="4" t="n">
        <v>2021</v>
      </c>
      <c r="F73" s="6" t="n">
        <v>295</v>
      </c>
      <c r="G73" s="6" t="n">
        <v>413</v>
      </c>
      <c r="H73" s="6" t="n">
        <v>155</v>
      </c>
      <c r="I73" s="6" t="n">
        <v>747</v>
      </c>
      <c r="J73" s="4" t="n">
        <v>33</v>
      </c>
      <c r="K73" s="7" t="n">
        <v>52</v>
      </c>
      <c r="L73" s="4" t="n">
        <v>78</v>
      </c>
      <c r="M73" s="5" t="inlineStr">
        <is>
          <t>https://stockx.com/denim-tears-x-levis-cotton-wreath-jean-light-wash</t>
        </is>
      </c>
      <c r="N73" s="5" t="inlineStr">
        <is>
          <t>StockX 3M market data</t>
        </is>
      </c>
      <c r="O73" s="8">
        <f>IFERROR((G73/F73)^(1/MAX(2026-E73,0.5))-1,"")</f>
        <v/>
      </c>
      <c r="P73" s="9" t="inlineStr">
        <is>
          <t>YES</t>
        </is>
      </c>
    </row>
    <row r="74" ht="20" customHeight="1">
      <c r="A74" s="4" t="inlineStr">
        <is>
          <t>✅ Verified</t>
        </is>
      </c>
      <c r="B74" s="5" t="inlineStr">
        <is>
          <t>Denim Tears x Levi's Cotton Wreath Jeans White</t>
        </is>
      </c>
      <c r="C74" s="4" t="inlineStr">
        <is>
          <t>Streetwear</t>
        </is>
      </c>
      <c r="D74" s="4" t="inlineStr">
        <is>
          <t>Denim Tears</t>
        </is>
      </c>
      <c r="E74" s="4" t="n">
        <v>2021</v>
      </c>
      <c r="F74" s="6" t="n">
        <v>295</v>
      </c>
      <c r="G74" s="6" t="n">
        <v>136</v>
      </c>
      <c r="H74" s="6" t="n">
        <v>100</v>
      </c>
      <c r="I74" s="6" t="n">
        <v>193</v>
      </c>
      <c r="J74" s="4" t="n">
        <v>30</v>
      </c>
      <c r="K74" s="7" t="n">
        <v>18</v>
      </c>
      <c r="L74" s="4" t="n">
        <v>55</v>
      </c>
      <c r="M74" s="5" t="inlineStr">
        <is>
          <t>https://stockx.com/denim-tears-x-levis-cotton-wreath-jean-white</t>
        </is>
      </c>
      <c r="N74" s="5" t="inlineStr">
        <is>
          <t>StockX 3M market data</t>
        </is>
      </c>
      <c r="O74" s="8">
        <f>IFERROR((G74/F74)^(1/MAX(2026-E74,0.5))-1,"")</f>
        <v/>
      </c>
      <c r="P74" s="9" t="inlineStr">
        <is>
          <t>YES</t>
        </is>
      </c>
    </row>
    <row r="75" ht="20" customHeight="1">
      <c r="A75" s="4" t="inlineStr">
        <is>
          <t>✅ Verified</t>
        </is>
      </c>
      <c r="B75" s="5" t="inlineStr">
        <is>
          <t>Fear of God Essentials Hoodie Stretch Limo</t>
        </is>
      </c>
      <c r="C75" s="4" t="inlineStr">
        <is>
          <t>Streetwear</t>
        </is>
      </c>
      <c r="D75" s="4" t="inlineStr">
        <is>
          <t>Fear of God Essentials</t>
        </is>
      </c>
      <c r="E75" s="4" t="n">
        <v>2022</v>
      </c>
      <c r="F75" s="6" t="n">
        <v>100</v>
      </c>
      <c r="G75" s="6" t="n">
        <v>303</v>
      </c>
      <c r="H75" s="6" t="n">
        <v>231</v>
      </c>
      <c r="I75" s="6" t="n">
        <v>376</v>
      </c>
      <c r="J75" s="4" t="n">
        <v>90</v>
      </c>
      <c r="K75" s="7" t="n">
        <v>25</v>
      </c>
      <c r="L75" s="4" t="n">
        <v>45</v>
      </c>
      <c r="M75" s="5" t="inlineStr">
        <is>
          <t>https://stockx.com/fear-of-god-essentials-pullover-hoodie-stretch-limo</t>
        </is>
      </c>
      <c r="N75" s="5" t="inlineStr">
        <is>
          <t>StockX real data (collected June 2026)</t>
        </is>
      </c>
      <c r="O75" s="8">
        <f>IFERROR((G75/F75)^(1/MAX(2026-E75,0.5))-1,"")</f>
        <v/>
      </c>
      <c r="P75" s="9" t="inlineStr">
        <is>
          <t>YES</t>
        </is>
      </c>
    </row>
    <row r="76" ht="20" customHeight="1">
      <c r="A76" s="4" t="inlineStr">
        <is>
          <t>✅ Verified</t>
        </is>
      </c>
      <c r="B76" s="5" t="inlineStr">
        <is>
          <t>Fear of God Essentials Sweatpants Stretch Limo</t>
        </is>
      </c>
      <c r="C76" s="4" t="inlineStr">
        <is>
          <t>Streetwear</t>
        </is>
      </c>
      <c r="D76" s="4" t="inlineStr">
        <is>
          <t>Fear of God Essentials</t>
        </is>
      </c>
      <c r="E76" s="4" t="n">
        <v>2022</v>
      </c>
      <c r="F76" s="6" t="n">
        <v>100</v>
      </c>
      <c r="G76" s="6" t="n">
        <v>159</v>
      </c>
      <c r="H76" s="6" t="n">
        <v>48</v>
      </c>
      <c r="I76" s="6" t="n">
        <v>303</v>
      </c>
      <c r="J76" s="4" t="n">
        <v>80</v>
      </c>
      <c r="K76" s="7" t="n">
        <v>24</v>
      </c>
      <c r="L76" s="4" t="n">
        <v>42</v>
      </c>
      <c r="M76" s="5" t="inlineStr">
        <is>
          <t>https://stockx.com/fear-of-god-essentials-sweatpants-stretch-limo</t>
        </is>
      </c>
      <c r="N76" s="5" t="inlineStr">
        <is>
          <t>StockX real data (collected June 2026)</t>
        </is>
      </c>
      <c r="O76" s="8">
        <f>IFERROR((G76/F76)^(1/MAX(2026-E76,0.5))-1,"")</f>
        <v/>
      </c>
      <c r="P76" s="9" t="inlineStr">
        <is>
          <t>YES</t>
        </is>
      </c>
    </row>
    <row r="77" ht="20" customHeight="1">
      <c r="A77" s="4" t="inlineStr">
        <is>
          <t>✅ Verified</t>
        </is>
      </c>
      <c r="B77" s="5" t="inlineStr">
        <is>
          <t>Hellstar Studios Brainwashed Hoodie Black</t>
        </is>
      </c>
      <c r="C77" s="4" t="inlineStr">
        <is>
          <t>Streetwear</t>
        </is>
      </c>
      <c r="D77" s="4" t="inlineStr">
        <is>
          <t>Hellstar</t>
        </is>
      </c>
      <c r="E77" s="4" t="n">
        <v>2023</v>
      </c>
      <c r="F77" s="6" t="n">
        <v>250</v>
      </c>
      <c r="G77" s="6" t="n">
        <v>510</v>
      </c>
      <c r="H77" s="6" t="n">
        <v>262</v>
      </c>
      <c r="I77" s="6" t="n">
        <v>510</v>
      </c>
      <c r="J77" s="4" t="n">
        <v>20</v>
      </c>
      <c r="K77" s="7" t="n">
        <v>34</v>
      </c>
      <c r="L77" s="4" t="n">
        <v>70</v>
      </c>
      <c r="M77" s="5" t="inlineStr">
        <is>
          <t>https://stockx.com/hellstar-sport-hoodie-black</t>
        </is>
      </c>
      <c r="N77" s="5" t="inlineStr">
        <is>
          <t>StockX real data (collected June 2026)</t>
        </is>
      </c>
      <c r="O77" s="8">
        <f>IFERROR((G77/F77)^(1/MAX(2026-E77,0.5))-1,"")</f>
        <v/>
      </c>
      <c r="P77" s="9" t="inlineStr">
        <is>
          <t>YES</t>
        </is>
      </c>
    </row>
    <row r="78" ht="20" customHeight="1">
      <c r="A78" s="4" t="inlineStr">
        <is>
          <t>✅ Verified</t>
        </is>
      </c>
      <c r="B78" s="5" t="inlineStr">
        <is>
          <t>Hellstar Studios Sports Logo Hoodie Black</t>
        </is>
      </c>
      <c r="C78" s="4" t="inlineStr">
        <is>
          <t>Streetwear</t>
        </is>
      </c>
      <c r="D78" s="4" t="inlineStr">
        <is>
          <t>Hellstar</t>
        </is>
      </c>
      <c r="E78" s="4" t="n">
        <v>2024</v>
      </c>
      <c r="F78" s="6" t="n">
        <v>150</v>
      </c>
      <c r="G78" s="6" t="n">
        <v>389</v>
      </c>
      <c r="H78" s="6" t="n">
        <v>181</v>
      </c>
      <c r="I78" s="6" t="n">
        <v>450</v>
      </c>
      <c r="J78" s="4" t="n">
        <v>25</v>
      </c>
      <c r="K78" s="7" t="n">
        <v>32</v>
      </c>
      <c r="L78" s="4" t="n">
        <v>66</v>
      </c>
      <c r="M78" s="5" t="inlineStr">
        <is>
          <t>https://stockx.com/hellstar-sport-logo-hoodie-black</t>
        </is>
      </c>
      <c r="N78" s="5" t="inlineStr">
        <is>
          <t>StockX real data (collected June 2026)</t>
        </is>
      </c>
      <c r="O78" s="8">
        <f>IFERROR((G78/F78)^(1/MAX(2026-E78,0.5))-1,"")</f>
        <v/>
      </c>
      <c r="P78" s="9" t="inlineStr">
        <is>
          <t>YES</t>
        </is>
      </c>
    </row>
    <row r="79" ht="20" customHeight="1">
      <c r="A79" s="4" t="inlineStr">
        <is>
          <t>✅ Verified</t>
        </is>
      </c>
      <c r="B79" s="5" t="inlineStr">
        <is>
          <t>Kith Box Logo Hoodie Black</t>
        </is>
      </c>
      <c r="C79" s="4" t="inlineStr">
        <is>
          <t>Streetwear</t>
        </is>
      </c>
      <c r="D79" s="4" t="inlineStr">
        <is>
          <t>Kith</t>
        </is>
      </c>
      <c r="E79" s="4" t="n">
        <v>2024</v>
      </c>
      <c r="F79" s="6" t="n">
        <v>165</v>
      </c>
      <c r="G79" s="6" t="n">
        <v>195</v>
      </c>
      <c r="H79" s="6" t="n">
        <v>109</v>
      </c>
      <c r="I79" s="6" t="n">
        <v>195</v>
      </c>
      <c r="J79" s="4" t="n">
        <v>15</v>
      </c>
      <c r="K79" s="7" t="n">
        <v>25</v>
      </c>
      <c r="L79" s="4" t="n">
        <v>52</v>
      </c>
      <c r="M79" s="5" t="inlineStr">
        <is>
          <t>https://stockx.com/kith-x-bmw-nelson-box-logo-hoodie-gotham</t>
        </is>
      </c>
      <c r="N79" s="5" t="inlineStr">
        <is>
          <t>StockX real data (collected June 2026)</t>
        </is>
      </c>
      <c r="O79" s="8">
        <f>IFERROR((G79/F79)^(1/MAX(2026-E79,0.5))-1,"")</f>
        <v/>
      </c>
      <c r="P79" s="9" t="inlineStr">
        <is>
          <t>YES</t>
        </is>
      </c>
    </row>
    <row r="80" ht="20" customHeight="1">
      <c r="A80" s="4" t="inlineStr">
        <is>
          <t>✅ Verified</t>
        </is>
      </c>
      <c r="B80" s="5" t="inlineStr">
        <is>
          <t>Sp5der Web Hoodie Black</t>
        </is>
      </c>
      <c r="C80" s="4" t="inlineStr">
        <is>
          <t>Streetwear</t>
        </is>
      </c>
      <c r="D80" s="4" t="inlineStr">
        <is>
          <t>Sp5der</t>
        </is>
      </c>
      <c r="E80" s="4" t="n">
        <v>2024</v>
      </c>
      <c r="F80" s="6" t="n">
        <v>200</v>
      </c>
      <c r="G80" s="6" t="n">
        <v>287</v>
      </c>
      <c r="H80" s="6" t="n">
        <v>200</v>
      </c>
      <c r="I80" s="6" t="n">
        <v>284</v>
      </c>
      <c r="J80" s="4" t="n">
        <v>24</v>
      </c>
      <c r="K80" s="7" t="n">
        <v>34</v>
      </c>
      <c r="L80" s="4" t="n">
        <v>70</v>
      </c>
      <c r="M80" s="5" t="inlineStr">
        <is>
          <t>https://stockx.com/sp5der-og-web-hoodie-black</t>
        </is>
      </c>
      <c r="N80" s="5" t="inlineStr">
        <is>
          <t>StockX real data (collected June 2026)</t>
        </is>
      </c>
      <c r="O80" s="8">
        <f>IFERROR((G80/F80)^(1/MAX(2026-E80,0.5))-1,"")</f>
        <v/>
      </c>
      <c r="P80" s="9" t="inlineStr">
        <is>
          <t>YES</t>
        </is>
      </c>
    </row>
    <row r="81" ht="20" customHeight="1">
      <c r="A81" s="4" t="inlineStr">
        <is>
          <t>✅ Verified</t>
        </is>
      </c>
      <c r="B81" s="5" t="inlineStr">
        <is>
          <t>Sp5der Web Hoodie Pink</t>
        </is>
      </c>
      <c r="C81" s="4" t="inlineStr">
        <is>
          <t>Streetwear</t>
        </is>
      </c>
      <c r="D81" s="4" t="inlineStr">
        <is>
          <t>Sp5der</t>
        </is>
      </c>
      <c r="E81" s="4" t="n">
        <v>2023</v>
      </c>
      <c r="F81" s="6" t="n">
        <v>200</v>
      </c>
      <c r="G81" s="6" t="n">
        <v>299</v>
      </c>
      <c r="H81" s="6" t="n">
        <v>200</v>
      </c>
      <c r="I81" s="6" t="n">
        <v>290</v>
      </c>
      <c r="J81" s="4" t="n">
        <v>22</v>
      </c>
      <c r="K81" s="7" t="n">
        <v>35</v>
      </c>
      <c r="L81" s="4" t="n">
        <v>72</v>
      </c>
      <c r="M81" s="5" t="inlineStr">
        <is>
          <t>https://stockx.com/sp5der-og-web-hoodie-pink</t>
        </is>
      </c>
      <c r="N81" s="5" t="inlineStr">
        <is>
          <t>StockX real data (collected June 2026)</t>
        </is>
      </c>
      <c r="O81" s="8">
        <f>IFERROR((G81/F81)^(1/MAX(2026-E81,0.5))-1,"")</f>
        <v/>
      </c>
      <c r="P81" s="9" t="inlineStr">
        <is>
          <t>YES</t>
        </is>
      </c>
    </row>
    <row r="82" ht="20" customHeight="1">
      <c r="A82" s="4" t="inlineStr">
        <is>
          <t>✅ Verified</t>
        </is>
      </c>
      <c r="B82" s="5" t="inlineStr">
        <is>
          <t>Stussy 8 Ball Sherpa Jacket Natural</t>
        </is>
      </c>
      <c r="C82" s="4" t="inlineStr">
        <is>
          <t>Streetwear</t>
        </is>
      </c>
      <c r="D82" s="4" t="inlineStr">
        <is>
          <t>Stussy</t>
        </is>
      </c>
      <c r="E82" s="4" t="n">
        <v>2021</v>
      </c>
      <c r="F82" s="6" t="n">
        <v>220</v>
      </c>
      <c r="G82" s="6" t="n">
        <v>350</v>
      </c>
      <c r="H82" s="6" t="n">
        <v>154</v>
      </c>
      <c r="I82" s="6" t="n">
        <v>350</v>
      </c>
      <c r="J82" s="4" t="n">
        <v>18</v>
      </c>
      <c r="K82" s="7" t="n">
        <v>28</v>
      </c>
      <c r="L82" s="4" t="n">
        <v>70</v>
      </c>
      <c r="M82" s="5" t="inlineStr">
        <is>
          <t>https://stockx.com/stussy-8-ball-sherpa-reversible-jacket-green</t>
        </is>
      </c>
      <c r="N82" s="5" t="inlineStr">
        <is>
          <t>StockX real data (collected June 2026)</t>
        </is>
      </c>
      <c r="O82" s="8">
        <f>IFERROR((G82/F82)^(1/MAX(2026-E82,0.5))-1,"")</f>
        <v/>
      </c>
      <c r="P82" s="9" t="inlineStr">
        <is>
          <t>YES</t>
        </is>
      </c>
    </row>
    <row r="83" ht="20" customHeight="1">
      <c r="A83" s="4" t="inlineStr">
        <is>
          <t>✅ Verified</t>
        </is>
      </c>
      <c r="B83" s="5" t="inlineStr">
        <is>
          <t>Stussy 8 Ball Sherpa Reversible Jacket Orange</t>
        </is>
      </c>
      <c r="C83" s="4" t="inlineStr">
        <is>
          <t>Streetwear</t>
        </is>
      </c>
      <c r="D83" s="4" t="inlineStr">
        <is>
          <t>Stussy</t>
        </is>
      </c>
      <c r="E83" s="4" t="n">
        <v>2022</v>
      </c>
      <c r="F83" s="6" t="n">
        <v>220</v>
      </c>
      <c r="G83" s="6" t="n">
        <v>426</v>
      </c>
      <c r="H83" s="6" t="n">
        <v>294</v>
      </c>
      <c r="I83" s="6" t="n">
        <v>557</v>
      </c>
      <c r="J83" s="4" t="n">
        <v>2</v>
      </c>
      <c r="K83" s="7" t="n">
        <v>24</v>
      </c>
      <c r="L83" s="4" t="n">
        <v>70</v>
      </c>
      <c r="M83" s="5" t="inlineStr">
        <is>
          <t>https://stockx.com/stussy-8-ball-sherpa-reversible-jacket-orange</t>
        </is>
      </c>
      <c r="N83" s="5" t="inlineStr">
        <is>
          <t>StockX 3M market data</t>
        </is>
      </c>
      <c r="O83" s="8">
        <f>IFERROR((G83/F83)^(1/MAX(2026-E83,0.5))-1,"")</f>
        <v/>
      </c>
      <c r="P83" s="9" t="inlineStr">
        <is>
          <t>YES</t>
        </is>
      </c>
    </row>
    <row r="84" ht="20" customHeight="1">
      <c r="A84" s="4" t="inlineStr">
        <is>
          <t>✅ Verified</t>
        </is>
      </c>
      <c r="B84" s="5" t="inlineStr">
        <is>
          <t>Stussy Sherpa Reversible Jacket Natural</t>
        </is>
      </c>
      <c r="C84" s="4" t="inlineStr">
        <is>
          <t>Streetwear</t>
        </is>
      </c>
      <c r="D84" s="4" t="inlineStr">
        <is>
          <t>Stussy</t>
        </is>
      </c>
      <c r="E84" s="4" t="n">
        <v>2024</v>
      </c>
      <c r="F84" s="6" t="n">
        <v>220</v>
      </c>
      <c r="G84" s="6" t="n">
        <v>221</v>
      </c>
      <c r="H84" s="6" t="n">
        <v>80</v>
      </c>
      <c r="I84" s="6" t="n">
        <v>437</v>
      </c>
      <c r="J84" s="4" t="n">
        <v>3</v>
      </c>
      <c r="K84" s="7" t="n">
        <v>24</v>
      </c>
      <c r="L84" s="4" t="n">
        <v>60</v>
      </c>
      <c r="M84" s="5" t="inlineStr">
        <is>
          <t>https://stockx.com/stussy-sherpa-reversible-jacket-natural</t>
        </is>
      </c>
      <c r="N84" s="5" t="inlineStr">
        <is>
          <t>StockX 3M market data</t>
        </is>
      </c>
      <c r="O84" s="8">
        <f>IFERROR((G84/F84)^(1/MAX(2026-E84,0.5))-1,"")</f>
        <v/>
      </c>
      <c r="P84" s="9" t="inlineStr">
        <is>
          <t>YES</t>
        </is>
      </c>
    </row>
    <row r="85" ht="20" customHeight="1">
      <c r="A85" s="4" t="inlineStr">
        <is>
          <t>✅ Verified</t>
        </is>
      </c>
      <c r="B85" s="5" t="inlineStr">
        <is>
          <t>Supreme Box Logo Hoodie FW16 Black</t>
        </is>
      </c>
      <c r="C85" s="4" t="inlineStr">
        <is>
          <t>Streetwear</t>
        </is>
      </c>
      <c r="D85" s="4" t="inlineStr">
        <is>
          <t>Supreme</t>
        </is>
      </c>
      <c r="E85" s="4" t="n">
        <v>2016</v>
      </c>
      <c r="F85" s="6" t="n">
        <v>168</v>
      </c>
      <c r="G85" s="6" t="n">
        <v>289</v>
      </c>
      <c r="H85" s="6" t="n">
        <v>270</v>
      </c>
      <c r="I85" s="6" t="n">
        <v>307</v>
      </c>
      <c r="J85" s="4" t="n">
        <v>2</v>
      </c>
      <c r="K85" s="7" t="n">
        <v>21</v>
      </c>
      <c r="L85" s="4" t="n">
        <v>82</v>
      </c>
      <c r="M85" s="5" t="inlineStr">
        <is>
          <t>https://stockx.com/supreme-box-logo-hooded-sweatshirt-black</t>
        </is>
      </c>
      <c r="N85" s="5" t="inlineStr">
        <is>
          <t>StockX 3M market data</t>
        </is>
      </c>
      <c r="O85" s="8">
        <f>IFERROR((G85/F85)^(1/MAX(2026-E85,0.5))-1,"")</f>
        <v/>
      </c>
      <c r="P85" s="9" t="inlineStr">
        <is>
          <t>YES</t>
        </is>
      </c>
    </row>
    <row r="86" ht="20" customHeight="1">
      <c r="A86" s="4" t="inlineStr">
        <is>
          <t>✅ Verified</t>
        </is>
      </c>
      <c r="B86" s="5" t="inlineStr">
        <is>
          <t>Supreme Box Logo Hoodie FW16 Sage</t>
        </is>
      </c>
      <c r="C86" s="4" t="inlineStr">
        <is>
          <t>Streetwear</t>
        </is>
      </c>
      <c r="D86" s="4" t="inlineStr">
        <is>
          <t>Supreme</t>
        </is>
      </c>
      <c r="E86" s="4" t="n">
        <v>2016</v>
      </c>
      <c r="F86" s="6" t="n">
        <v>168</v>
      </c>
      <c r="G86" s="6" t="n">
        <v>720</v>
      </c>
      <c r="H86" s="6" t="n">
        <v>719</v>
      </c>
      <c r="I86" s="6" t="n">
        <v>719</v>
      </c>
      <c r="J86" s="4" t="n">
        <v>1</v>
      </c>
      <c r="K86" s="7" t="n">
        <v>28</v>
      </c>
      <c r="L86" s="4" t="n">
        <v>88</v>
      </c>
      <c r="M86" s="5" t="inlineStr">
        <is>
          <t>https://stockx.com/supreme-box-logo-hooded-sweatshirt-sage</t>
        </is>
      </c>
      <c r="N86" s="5" t="inlineStr">
        <is>
          <t>StockX 3M market data</t>
        </is>
      </c>
      <c r="O86" s="8">
        <f>IFERROR((G86/F86)^(1/MAX(2026-E86,0.5))-1,"")</f>
        <v/>
      </c>
      <c r="P86" s="9" t="inlineStr">
        <is>
          <t>YES</t>
        </is>
      </c>
    </row>
    <row r="87" ht="20" customHeight="1">
      <c r="A87" s="4" t="inlineStr">
        <is>
          <t>✅ Verified</t>
        </is>
      </c>
      <c r="B87" s="5" t="inlineStr">
        <is>
          <t>Supreme Box Logo Hoodie FW21 Charcoal</t>
        </is>
      </c>
      <c r="C87" s="4" t="inlineStr">
        <is>
          <t>Streetwear</t>
        </is>
      </c>
      <c r="D87" s="4" t="inlineStr">
        <is>
          <t>Supreme</t>
        </is>
      </c>
      <c r="E87" s="4" t="n">
        <v>2021</v>
      </c>
      <c r="F87" s="6" t="n">
        <v>168</v>
      </c>
      <c r="G87" s="6" t="n">
        <v>229</v>
      </c>
      <c r="H87" s="6" t="n">
        <v>136</v>
      </c>
      <c r="I87" s="6" t="n">
        <v>497</v>
      </c>
      <c r="J87" s="4" t="n">
        <v>19</v>
      </c>
      <c r="K87" s="7" t="n">
        <v>40</v>
      </c>
      <c r="L87" s="4" t="n">
        <v>72</v>
      </c>
      <c r="M87" s="5" t="inlineStr">
        <is>
          <t>https://stockx.com/supreme-box-logo-hooded-sweatshirt-fw21-charcoal</t>
        </is>
      </c>
      <c r="N87" s="5" t="inlineStr">
        <is>
          <t>StockX 3M market data</t>
        </is>
      </c>
      <c r="O87" s="8">
        <f>IFERROR((G87/F87)^(1/MAX(2026-E87,0.5))-1,"")</f>
        <v/>
      </c>
      <c r="P87" s="9" t="inlineStr">
        <is>
          <t>YES</t>
        </is>
      </c>
    </row>
    <row r="88" ht="20" customHeight="1">
      <c r="A88" s="4" t="inlineStr">
        <is>
          <t>✅ Verified</t>
        </is>
      </c>
      <c r="B88" s="5" t="inlineStr">
        <is>
          <t>Supreme Box Logo Tee 20th Anniversary Black</t>
        </is>
      </c>
      <c r="C88" s="4" t="inlineStr">
        <is>
          <t>Streetwear</t>
        </is>
      </c>
      <c r="D88" s="4" t="inlineStr">
        <is>
          <t>Supreme</t>
        </is>
      </c>
      <c r="E88" s="4" t="n">
        <v>2014</v>
      </c>
      <c r="F88" s="6" t="n">
        <v>32</v>
      </c>
      <c r="G88" s="6" t="n">
        <v>375</v>
      </c>
      <c r="H88" s="6" t="n">
        <v>293</v>
      </c>
      <c r="I88" s="6" t="n">
        <v>500</v>
      </c>
      <c r="J88" s="4" t="n">
        <v>7</v>
      </c>
      <c r="K88" s="7" t="n">
        <v>28</v>
      </c>
      <c r="L88" s="4" t="n">
        <v>88</v>
      </c>
      <c r="M88" s="5" t="inlineStr">
        <is>
          <t>https://stockx.com/supreme-20th-anniversary-box-logo-tee-black</t>
        </is>
      </c>
      <c r="N88" s="5" t="inlineStr">
        <is>
          <t>StockX real data (collected June 2026)</t>
        </is>
      </c>
      <c r="O88" s="8">
        <f>IFERROR((G88/F88)^(1/MAX(2026-E88,0.5))-1,"")</f>
        <v/>
      </c>
      <c r="P88" s="9" t="inlineStr">
        <is>
          <t>YES</t>
        </is>
      </c>
    </row>
    <row r="89" ht="20" customHeight="1">
      <c r="A89" s="4" t="inlineStr">
        <is>
          <t>✅ Verified</t>
        </is>
      </c>
      <c r="B89" s="5" t="inlineStr">
        <is>
          <t>Supreme Burberry Box Logo Hoodie Grey</t>
        </is>
      </c>
      <c r="C89" s="4" t="inlineStr">
        <is>
          <t>Streetwear</t>
        </is>
      </c>
      <c r="D89" s="4" t="inlineStr">
        <is>
          <t>Supreme</t>
        </is>
      </c>
      <c r="E89" s="4" t="n">
        <v>2022</v>
      </c>
      <c r="F89" s="6" t="n">
        <v>198</v>
      </c>
      <c r="G89" s="6" t="n">
        <v>375</v>
      </c>
      <c r="H89" s="6" t="n">
        <v>345</v>
      </c>
      <c r="I89" s="6" t="n">
        <v>435</v>
      </c>
      <c r="J89" s="4" t="n">
        <v>10</v>
      </c>
      <c r="K89" s="7" t="n">
        <v>23</v>
      </c>
      <c r="L89" s="4" t="n">
        <v>78</v>
      </c>
      <c r="M89" s="5" t="inlineStr">
        <is>
          <t>https://stockx.com/supreme-burberry-box-logo-hooded-sweatshirt-heather-grey</t>
        </is>
      </c>
      <c r="N89" s="5" t="inlineStr">
        <is>
          <t>StockX real data (collected June 2026)</t>
        </is>
      </c>
      <c r="O89" s="8">
        <f>IFERROR((G89/F89)^(1/MAX(2026-E89,0.5))-1,"")</f>
        <v/>
      </c>
      <c r="P89" s="9" t="inlineStr">
        <is>
          <t>YES</t>
        </is>
      </c>
    </row>
    <row r="90" ht="20" customHeight="1">
      <c r="A90" s="4" t="inlineStr">
        <is>
          <t>✅ Verified</t>
        </is>
      </c>
      <c r="B90" s="5" t="inlineStr">
        <is>
          <t>Supreme Burberry Box Logo Tee White</t>
        </is>
      </c>
      <c r="C90" s="4" t="inlineStr">
        <is>
          <t>Streetwear</t>
        </is>
      </c>
      <c r="D90" s="4" t="inlineStr">
        <is>
          <t>Supreme</t>
        </is>
      </c>
      <c r="E90" s="4" t="n">
        <v>2022</v>
      </c>
      <c r="F90" s="6" t="n">
        <v>54</v>
      </c>
      <c r="G90" s="6" t="n">
        <v>273</v>
      </c>
      <c r="H90" s="6" t="n">
        <v>200</v>
      </c>
      <c r="I90" s="6" t="n">
        <v>376</v>
      </c>
      <c r="J90" s="4" t="n">
        <v>11</v>
      </c>
      <c r="K90" s="7" t="n">
        <v>26</v>
      </c>
      <c r="L90" s="4" t="n">
        <v>78</v>
      </c>
      <c r="M90" s="5" t="inlineStr">
        <is>
          <t>https://stockx.com/supreme-burberry-box-logo-tee-white</t>
        </is>
      </c>
      <c r="N90" s="5" t="inlineStr">
        <is>
          <t>StockX 3M market data</t>
        </is>
      </c>
      <c r="O90" s="8">
        <f>IFERROR((G90/F90)^(1/MAX(2026-E90,0.5))-1,"")</f>
        <v/>
      </c>
      <c r="P90" s="9" t="inlineStr">
        <is>
          <t>YES</t>
        </is>
      </c>
    </row>
    <row r="91" ht="20" customHeight="1">
      <c r="A91" s="4" t="inlineStr">
        <is>
          <t>✅ Verified</t>
        </is>
      </c>
      <c r="B91" s="5" t="inlineStr">
        <is>
          <t>Supreme x MM6 Maison Margiela Box Logo Hoodie Black</t>
        </is>
      </c>
      <c r="C91" s="4" t="inlineStr">
        <is>
          <t>Streetwear</t>
        </is>
      </c>
      <c r="D91" s="4" t="inlineStr">
        <is>
          <t>Supreme</t>
        </is>
      </c>
      <c r="E91" s="4" t="n">
        <v>2026</v>
      </c>
      <c r="F91" s="6" t="n">
        <v>298</v>
      </c>
      <c r="G91" s="6" t="n">
        <v>370</v>
      </c>
      <c r="H91" s="6" t="n">
        <v>298</v>
      </c>
      <c r="I91" s="6" t="n">
        <v>590</v>
      </c>
      <c r="J91" s="4" t="n">
        <v>10</v>
      </c>
      <c r="K91" s="7" t="n">
        <v>28</v>
      </c>
      <c r="L91" s="4" t="n">
        <v>80</v>
      </c>
      <c r="M91" s="5" t="inlineStr">
        <is>
          <t>https://stockx.com/supreme-mm6-maison-margiela-box-logo-zip-up-hooded-sweatshirt-black</t>
        </is>
      </c>
      <c r="N91" s="5" t="inlineStr">
        <is>
          <t>StockX real data (collected June 2026)</t>
        </is>
      </c>
      <c r="O91" s="8">
        <f>IFERROR((G91/F91)^(1/MAX(2026-E91,0.5))-1,"")</f>
        <v/>
      </c>
      <c r="P91" s="9" t="inlineStr">
        <is>
          <t>YES</t>
        </is>
      </c>
    </row>
    <row r="92" ht="20" customHeight="1">
      <c r="A92" s="4" t="inlineStr">
        <is>
          <t>✅ Verified</t>
        </is>
      </c>
      <c r="B92" s="5" t="inlineStr">
        <is>
          <t>Supreme x MM6 Maison Margiela Box Logo Tee White</t>
        </is>
      </c>
      <c r="C92" s="4" t="inlineStr">
        <is>
          <t>Streetwear</t>
        </is>
      </c>
      <c r="D92" s="4" t="inlineStr">
        <is>
          <t>Supreme</t>
        </is>
      </c>
      <c r="E92" s="4" t="n">
        <v>2024</v>
      </c>
      <c r="F92" s="6" t="n">
        <v>88</v>
      </c>
      <c r="G92" s="6" t="n">
        <v>174</v>
      </c>
      <c r="H92" s="6" t="n">
        <v>166</v>
      </c>
      <c r="I92" s="6" t="n">
        <v>214</v>
      </c>
      <c r="J92" s="4" t="n">
        <v>18</v>
      </c>
      <c r="K92" s="7" t="n">
        <v>30</v>
      </c>
      <c r="L92" s="4" t="n">
        <v>78</v>
      </c>
      <c r="M92" s="5" t="inlineStr">
        <is>
          <t>https://stockx.com/supreme-mm6-maison-margiela-box-logo-tee-white</t>
        </is>
      </c>
      <c r="N92" s="5" t="inlineStr">
        <is>
          <t>StockX real data (collected June 2026)</t>
        </is>
      </c>
      <c r="O92" s="8">
        <f>IFERROR((G92/F92)^(1/MAX(2026-E92,0.5))-1,"")</f>
        <v/>
      </c>
      <c r="P92" s="9" t="inlineStr">
        <is>
          <t>YES</t>
        </is>
      </c>
    </row>
    <row r="93" ht="20" customHeight="1">
      <c r="A93" s="4" t="inlineStr">
        <is>
          <t>✅ Verified</t>
        </is>
      </c>
      <c r="B93" s="5" t="inlineStr">
        <is>
          <t>Supreme x The North Face Mountain Baltoro Jacket Black</t>
        </is>
      </c>
      <c r="C93" s="4" t="inlineStr">
        <is>
          <t>Streetwear</t>
        </is>
      </c>
      <c r="D93" s="4" t="inlineStr">
        <is>
          <t>Supreme</t>
        </is>
      </c>
      <c r="E93" s="4" t="n">
        <v>2019</v>
      </c>
      <c r="F93" s="6" t="n">
        <v>498</v>
      </c>
      <c r="G93" s="6" t="n">
        <v>401</v>
      </c>
      <c r="H93" s="6" t="n">
        <v>401</v>
      </c>
      <c r="I93" s="6" t="n">
        <v>750</v>
      </c>
      <c r="J93" s="4" t="n">
        <v>6</v>
      </c>
      <c r="K93" s="7" t="n">
        <v>30</v>
      </c>
      <c r="L93" s="4" t="n">
        <v>84</v>
      </c>
      <c r="M93" s="5" t="inlineStr">
        <is>
          <t>https://stockx.com/supreme-the-north-face-statue-of-liberty-baltoro-jacket-black</t>
        </is>
      </c>
      <c r="N93" s="5" t="inlineStr">
        <is>
          <t>StockX real data (collected June 2026)</t>
        </is>
      </c>
      <c r="O93" s="8">
        <f>IFERROR((G93/F93)^(1/MAX(2026-E93,0.5))-1,"")</f>
        <v/>
      </c>
      <c r="P93" s="9" t="inlineStr">
        <is>
          <t>YES</t>
        </is>
      </c>
    </row>
    <row r="94" ht="20" customHeight="1">
      <c r="A94" s="10" t="inlineStr">
        <is>
          <t>🔵 Low Volume</t>
        </is>
      </c>
      <c r="B94" s="11" t="inlineStr">
        <is>
          <t>Chrome Hearts Cross Patch Denim Black</t>
        </is>
      </c>
      <c r="C94" s="10" t="inlineStr">
        <is>
          <t>Luxury Streetwear</t>
        </is>
      </c>
      <c r="D94" s="10" t="inlineStr">
        <is>
          <t>Chrome Hearts</t>
        </is>
      </c>
      <c r="E94" s="10" t="n">
        <v>2021</v>
      </c>
      <c r="F94" s="12" t="n">
        <v>1500</v>
      </c>
      <c r="G94" s="12" t="n">
        <v>6798</v>
      </c>
      <c r="H94" s="12" t="n">
        <v>2687</v>
      </c>
      <c r="I94" s="12" t="n">
        <v>7644</v>
      </c>
      <c r="J94" s="10" t="n">
        <v>18</v>
      </c>
      <c r="K94" s="13" t="n">
        <v>32</v>
      </c>
      <c r="L94" s="10" t="n">
        <v>90</v>
      </c>
      <c r="M94" s="11" t="inlineStr">
        <is>
          <t>https://stockx.com/search?s=chrome+hearts+cross+patch+denim+black</t>
        </is>
      </c>
      <c r="N94" s="11" t="inlineStr">
        <is>
          <t>StockX real data (collected June 2026)</t>
        </is>
      </c>
      <c r="O94" s="14">
        <f>IFERROR((G94/F94)^(1/MAX(2026-E94,0.5))-1,"")</f>
        <v/>
      </c>
      <c r="P94" s="15" t="inlineStr"/>
    </row>
    <row r="95" ht="20" customHeight="1">
      <c r="A95" s="10" t="inlineStr">
        <is>
          <t>🔵 Low Volume</t>
        </is>
      </c>
      <c r="B95" s="11" t="inlineStr">
        <is>
          <t>Chrome Hearts Cross Patch Denim Blue</t>
        </is>
      </c>
      <c r="C95" s="10" t="inlineStr">
        <is>
          <t>Luxury Streetwear</t>
        </is>
      </c>
      <c r="D95" s="10" t="inlineStr">
        <is>
          <t>Chrome Hearts</t>
        </is>
      </c>
      <c r="E95" s="10" t="n">
        <v>2021</v>
      </c>
      <c r="F95" s="12" t="n">
        <v>1500</v>
      </c>
      <c r="G95" s="12" t="n">
        <v>4200</v>
      </c>
      <c r="H95" s="12" t="n">
        <v>3000</v>
      </c>
      <c r="I95" s="12" t="n">
        <v>6200</v>
      </c>
      <c r="J95" s="10" t="n">
        <v>3</v>
      </c>
      <c r="K95" s="13" t="n">
        <v>30</v>
      </c>
      <c r="L95" s="10" t="n">
        <v>88</v>
      </c>
      <c r="M95" s="11" t="inlineStr"/>
      <c r="N95" s="11" t="inlineStr">
        <is>
          <t>Low-volume luxury resale estimate; replace with sold data</t>
        </is>
      </c>
      <c r="O95" s="14">
        <f>IFERROR((G95/F95)^(1/MAX(2026-E95,0.5))-1,"")</f>
        <v/>
      </c>
      <c r="P95" s="15" t="inlineStr"/>
    </row>
    <row r="96" ht="20" customHeight="1">
      <c r="A96" s="10" t="inlineStr">
        <is>
          <t>🔵 Low Volume</t>
        </is>
      </c>
      <c r="B96" s="11" t="inlineStr">
        <is>
          <t>Chrome Hearts Fleur Knee Cross Patch Jeans Blue</t>
        </is>
      </c>
      <c r="C96" s="10" t="inlineStr">
        <is>
          <t>Luxury Streetwear</t>
        </is>
      </c>
      <c r="D96" s="10" t="inlineStr">
        <is>
          <t>Chrome Hearts</t>
        </is>
      </c>
      <c r="E96" s="10" t="n">
        <v>2021</v>
      </c>
      <c r="F96" s="12" t="n">
        <v>1500</v>
      </c>
      <c r="G96" s="12" t="n">
        <v>4900</v>
      </c>
      <c r="H96" s="12" t="n">
        <v>4900</v>
      </c>
      <c r="I96" s="12" t="n">
        <v>4900</v>
      </c>
      <c r="J96" s="10" t="n">
        <v>1</v>
      </c>
      <c r="K96" s="13" t="n">
        <v>18</v>
      </c>
      <c r="L96" s="10" t="n">
        <v>90</v>
      </c>
      <c r="M96" s="11" t="inlineStr">
        <is>
          <t>https://stockx.com/chrome-hearts-fleur-knee-cross-patch-jeans-blue</t>
        </is>
      </c>
      <c r="N96" s="11" t="inlineStr">
        <is>
          <t>Visible last-sale / low-volume market snapshot</t>
        </is>
      </c>
      <c r="O96" s="14">
        <f>IFERROR((G96/F96)^(1/MAX(2026-E96,0.5))-1,"")</f>
        <v/>
      </c>
      <c r="P96" s="15" t="inlineStr"/>
    </row>
    <row r="97" ht="20" customHeight="1">
      <c r="A97" s="10" t="inlineStr">
        <is>
          <t>🔵 Low Volume</t>
        </is>
      </c>
      <c r="B97" s="11" t="inlineStr">
        <is>
          <t>Chrome Hearts Vintage Levi's Stencil Cross Patch Denim Blue</t>
        </is>
      </c>
      <c r="C97" s="10" t="inlineStr">
        <is>
          <t>Luxury Streetwear</t>
        </is>
      </c>
      <c r="D97" s="10" t="inlineStr">
        <is>
          <t>Chrome Hearts</t>
        </is>
      </c>
      <c r="E97" s="10" t="n">
        <v>2021</v>
      </c>
      <c r="F97" s="12" t="n">
        <v>1500</v>
      </c>
      <c r="G97" s="12" t="n">
        <v>7515</v>
      </c>
      <c r="H97" s="12" t="n">
        <v>7515</v>
      </c>
      <c r="I97" s="12" t="n">
        <v>7515</v>
      </c>
      <c r="J97" s="10" t="n">
        <v>1</v>
      </c>
      <c r="K97" s="13" t="n">
        <v>20</v>
      </c>
      <c r="L97" s="10" t="n">
        <v>92</v>
      </c>
      <c r="M97" s="11" t="inlineStr">
        <is>
          <t>https://stockx.com/chrome-hearts-vintage-levis-stencil-cross-patch-denim-blue</t>
        </is>
      </c>
      <c r="N97" s="11" t="inlineStr">
        <is>
          <t>Visible last-sale / low-volume market snapshot</t>
        </is>
      </c>
      <c r="O97" s="14">
        <f>IFERROR((G97/F97)^(1/MAX(2026-E97,0.5))-1,"")</f>
        <v/>
      </c>
      <c r="P97" s="15" t="inlineStr"/>
    </row>
    <row r="98" ht="20" customHeight="1">
      <c r="A98" s="10" t="inlineStr">
        <is>
          <t>🔵 Low Volume</t>
        </is>
      </c>
      <c r="B98" s="11" t="inlineStr">
        <is>
          <t>Hermès Birkin 25 Epsom Rose Sakura Palladium Hardware</t>
        </is>
      </c>
      <c r="C98" s="10" t="inlineStr">
        <is>
          <t>Luxury Streetwear</t>
        </is>
      </c>
      <c r="D98" s="10" t="inlineStr">
        <is>
          <t>Hermès</t>
        </is>
      </c>
      <c r="E98" s="10" t="n">
        <v>2010</v>
      </c>
      <c r="F98" s="12" t="n">
        <v>12000</v>
      </c>
      <c r="G98" s="12" t="n">
        <v>30000</v>
      </c>
      <c r="H98" s="12" t="n">
        <v>22000</v>
      </c>
      <c r="I98" s="12" t="n">
        <v>38000</v>
      </c>
      <c r="J98" s="10" t="n">
        <v>4</v>
      </c>
      <c r="K98" s="13" t="n">
        <v>24</v>
      </c>
      <c r="L98" s="10" t="n">
        <v>96</v>
      </c>
      <c r="M98" s="11" t="inlineStr">
        <is>
          <t>https://stockx.com/hermes-birkin-epsom-25-black-gold</t>
        </is>
      </c>
      <c r="N98" s="11" t="inlineStr">
        <is>
          <t>StockX real data (collected June 2026)</t>
        </is>
      </c>
      <c r="O98" s="14">
        <f>IFERROR((G98/F98)^(1/MAX(2026-E98,0.5))-1,"")</f>
        <v/>
      </c>
      <c r="P98" s="15" t="inlineStr"/>
    </row>
    <row r="99" ht="20" customHeight="1">
      <c r="A99" s="10" t="inlineStr">
        <is>
          <t>🔵 Low Volume</t>
        </is>
      </c>
      <c r="B99" s="11" t="inlineStr">
        <is>
          <t>Hermès Birkin 25 Sellier Epsom Black Gold Hardware</t>
        </is>
      </c>
      <c r="C99" s="10" t="inlineStr">
        <is>
          <t>Luxury Streetwear</t>
        </is>
      </c>
      <c r="D99" s="10" t="inlineStr">
        <is>
          <t>Hermès</t>
        </is>
      </c>
      <c r="E99" s="10" t="n">
        <v>2010</v>
      </c>
      <c r="F99" s="12" t="n">
        <v>12000</v>
      </c>
      <c r="G99" s="12" t="n">
        <v>30000</v>
      </c>
      <c r="H99" s="12" t="n">
        <v>22000</v>
      </c>
      <c r="I99" s="12" t="n">
        <v>38000</v>
      </c>
      <c r="J99" s="10" t="n">
        <v>8</v>
      </c>
      <c r="K99" s="13" t="n">
        <v>20</v>
      </c>
      <c r="L99" s="10" t="n">
        <v>92</v>
      </c>
      <c r="M99" s="11" t="inlineStr">
        <is>
          <t>https://stockx.com/hermes-birkin-epsom-25-black-gold</t>
        </is>
      </c>
      <c r="N99" s="11" t="inlineStr">
        <is>
          <t>StockX real data (collected June 2026)</t>
        </is>
      </c>
      <c r="O99" s="14">
        <f>IFERROR((G99/F99)^(1/MAX(2026-E99,0.5))-1,"")</f>
        <v/>
      </c>
      <c r="P99" s="15" t="inlineStr"/>
    </row>
    <row r="100" ht="20" customHeight="1">
      <c r="A100" s="10" t="inlineStr">
        <is>
          <t>🔵 Low Volume</t>
        </is>
      </c>
      <c r="B100" s="11" t="inlineStr">
        <is>
          <t>Hermès Birkin 25 Togo Black Gold Hardware</t>
        </is>
      </c>
      <c r="C100" s="10" t="inlineStr">
        <is>
          <t>Luxury Streetwear</t>
        </is>
      </c>
      <c r="D100" s="10" t="inlineStr">
        <is>
          <t>Hermès</t>
        </is>
      </c>
      <c r="E100" s="10" t="n">
        <v>2010</v>
      </c>
      <c r="F100" s="12" t="n">
        <v>11000</v>
      </c>
      <c r="G100" s="12" t="n">
        <v>30000</v>
      </c>
      <c r="H100" s="12" t="n">
        <v>23000</v>
      </c>
      <c r="I100" s="12" t="n">
        <v>37995</v>
      </c>
      <c r="J100" s="10" t="n">
        <v>12</v>
      </c>
      <c r="K100" s="13" t="n">
        <v>18</v>
      </c>
      <c r="L100" s="10" t="n">
        <v>90</v>
      </c>
      <c r="M100" s="11" t="inlineStr">
        <is>
          <t>https://stockx.com/hermes-birkin-togo-25-noir</t>
        </is>
      </c>
      <c r="N100" s="11" t="inlineStr">
        <is>
          <t>StockX real data (collected June 2026)</t>
        </is>
      </c>
      <c r="O100" s="14">
        <f>IFERROR((G100/F100)^(1/MAX(2026-E100,0.5))-1,"")</f>
        <v/>
      </c>
      <c r="P100" s="15" t="inlineStr"/>
    </row>
    <row r="101" ht="20" customHeight="1">
      <c r="A101" s="10" t="inlineStr">
        <is>
          <t>🔵 Low Volume</t>
        </is>
      </c>
      <c r="B101" s="11" t="inlineStr">
        <is>
          <t>Hermès Birkin 30 Togo Gold Gold Hardware</t>
        </is>
      </c>
      <c r="C101" s="10" t="inlineStr">
        <is>
          <t>Luxury Streetwear</t>
        </is>
      </c>
      <c r="D101" s="10" t="inlineStr">
        <is>
          <t>Hermès</t>
        </is>
      </c>
      <c r="E101" s="10" t="n">
        <v>2010</v>
      </c>
      <c r="F101" s="12" t="n">
        <v>14900</v>
      </c>
      <c r="G101" s="12" t="n">
        <v>26700</v>
      </c>
      <c r="H101" s="12" t="n">
        <v>14963</v>
      </c>
      <c r="I101" s="12" t="n">
        <v>33500</v>
      </c>
      <c r="J101" s="10" t="n">
        <v>15</v>
      </c>
      <c r="K101" s="13" t="n">
        <v>17</v>
      </c>
      <c r="L101" s="10" t="n">
        <v>86</v>
      </c>
      <c r="M101" s="11" t="inlineStr">
        <is>
          <t>https://stockx.com/hermes-birkin-togo-30-gold</t>
        </is>
      </c>
      <c r="N101" s="11" t="inlineStr">
        <is>
          <t>StockX real data (collected June 2026)</t>
        </is>
      </c>
      <c r="O101" s="14">
        <f>IFERROR((G101/F101)^(1/MAX(2026-E101,0.5))-1,"")</f>
        <v/>
      </c>
      <c r="P101" s="15" t="inlineStr"/>
    </row>
    <row r="102" ht="20" customHeight="1">
      <c r="A102" s="10" t="inlineStr">
        <is>
          <t>🔵 Low Volume</t>
        </is>
      </c>
      <c r="B102" s="11" t="inlineStr">
        <is>
          <t>Hermès Birkin 35 Togo Etoupe Palladium Hardware</t>
        </is>
      </c>
      <c r="C102" s="10" t="inlineStr">
        <is>
          <t>Luxury Streetwear</t>
        </is>
      </c>
      <c r="D102" s="10" t="inlineStr">
        <is>
          <t>Hermès</t>
        </is>
      </c>
      <c r="E102" s="10" t="n">
        <v>2010</v>
      </c>
      <c r="F102" s="12" t="n">
        <v>13500</v>
      </c>
      <c r="G102" s="12" t="n">
        <v>18000</v>
      </c>
      <c r="H102" s="12" t="n">
        <v>13123</v>
      </c>
      <c r="I102" s="12" t="n">
        <v>36500</v>
      </c>
      <c r="J102" s="10" t="n">
        <v>10</v>
      </c>
      <c r="K102" s="13" t="n">
        <v>16</v>
      </c>
      <c r="L102" s="10" t="n">
        <v>82</v>
      </c>
      <c r="M102" s="11" t="inlineStr">
        <is>
          <t>https://stockx.com/hermes-birkin-togo-35-noir-palladium</t>
        </is>
      </c>
      <c r="N102" s="11" t="inlineStr">
        <is>
          <t>StockX real data (collected June 2026)</t>
        </is>
      </c>
      <c r="O102" s="14">
        <f>IFERROR((G102/F102)^(1/MAX(2026-E102,0.5))-1,"")</f>
        <v/>
      </c>
      <c r="P102" s="15" t="inlineStr"/>
    </row>
    <row r="103" ht="20" customHeight="1">
      <c r="A103" s="10" t="inlineStr">
        <is>
          <t>🔵 Low Volume</t>
        </is>
      </c>
      <c r="B103" s="11" t="inlineStr">
        <is>
          <t>Supreme x Louis Vuitton Box Logo Tee White</t>
        </is>
      </c>
      <c r="C103" s="10" t="inlineStr">
        <is>
          <t>Luxury Streetwear</t>
        </is>
      </c>
      <c r="D103" s="10" t="inlineStr">
        <is>
          <t>Supreme</t>
        </is>
      </c>
      <c r="E103" s="10" t="n">
        <v>2017</v>
      </c>
      <c r="F103" s="12" t="n">
        <v>485</v>
      </c>
      <c r="G103" s="12" t="n">
        <v>900</v>
      </c>
      <c r="H103" s="12" t="n">
        <v>485</v>
      </c>
      <c r="I103" s="12" t="n">
        <v>847</v>
      </c>
      <c r="J103" s="10" t="n">
        <v>3</v>
      </c>
      <c r="K103" s="13" t="n">
        <v>35</v>
      </c>
      <c r="L103" s="10" t="n">
        <v>96</v>
      </c>
      <c r="M103" s="11" t="inlineStr">
        <is>
          <t>https://stockx.com/supreme-louis-vuitton-box-logo-tee-white</t>
        </is>
      </c>
      <c r="N103" s="11" t="inlineStr">
        <is>
          <t>StockX real data (collected June 2026)</t>
        </is>
      </c>
      <c r="O103" s="14">
        <f>IFERROR((G103/F103)^(1/MAX(2026-E103,0.5))-1,"")</f>
        <v/>
      </c>
      <c r="P103" s="15" t="inlineStr"/>
    </row>
    <row r="104" ht="20" customHeight="1">
      <c r="A104" s="10" t="inlineStr">
        <is>
          <t>🔵 Low Volume</t>
        </is>
      </c>
      <c r="B104" s="11" t="inlineStr">
        <is>
          <t>Supreme x Louis Vuitton Hoodie Red</t>
        </is>
      </c>
      <c r="C104" s="10" t="inlineStr">
        <is>
          <t>Luxury Streetwear</t>
        </is>
      </c>
      <c r="D104" s="10" t="inlineStr">
        <is>
          <t>Supreme</t>
        </is>
      </c>
      <c r="E104" s="10" t="n">
        <v>2017</v>
      </c>
      <c r="F104" s="12" t="n">
        <v>935</v>
      </c>
      <c r="G104" s="12" t="n">
        <v>2899</v>
      </c>
      <c r="H104" s="12" t="n">
        <v>935</v>
      </c>
      <c r="I104" s="12" t="n">
        <v>3600</v>
      </c>
      <c r="J104" s="10" t="n">
        <v>2</v>
      </c>
      <c r="K104" s="13" t="n">
        <v>38</v>
      </c>
      <c r="L104" s="10" t="n">
        <v>98</v>
      </c>
      <c r="M104" s="11" t="inlineStr">
        <is>
          <t>https://stockx.com/supreme-louis-vuitton-box-logo-hooded-sweatshirt-red</t>
        </is>
      </c>
      <c r="N104" s="11" t="inlineStr">
        <is>
          <t>StockX real data (collected June 2026)</t>
        </is>
      </c>
      <c r="O104" s="14">
        <f>IFERROR((G104/F104)^(1/MAX(2026-E104,0.5))-1,"")</f>
        <v/>
      </c>
      <c r="P104" s="15" t="inlineStr"/>
    </row>
    <row r="105" ht="20" customHeight="1">
      <c r="A105" s="10" t="inlineStr">
        <is>
          <t>🔵 Low Volume</t>
        </is>
      </c>
      <c r="B105" s="11" t="inlineStr">
        <is>
          <t>Aime Leon Dore Uniform Hoodie Oatmeal</t>
        </is>
      </c>
      <c r="C105" s="10" t="inlineStr">
        <is>
          <t>Streetwear</t>
        </is>
      </c>
      <c r="D105" s="10" t="inlineStr">
        <is>
          <t>Aime Leon Dore</t>
        </is>
      </c>
      <c r="E105" s="10" t="n">
        <v>2024</v>
      </c>
      <c r="F105" s="12" t="n">
        <v>185</v>
      </c>
      <c r="G105" s="12" t="n">
        <v>500</v>
      </c>
      <c r="H105" s="12" t="n">
        <v>65</v>
      </c>
      <c r="I105" s="12" t="n">
        <v>500</v>
      </c>
      <c r="J105" s="10" t="n">
        <v>1</v>
      </c>
      <c r="K105" s="13" t="n">
        <v>24</v>
      </c>
      <c r="L105" s="10" t="n">
        <v>54</v>
      </c>
      <c r="M105" s="11" t="inlineStr">
        <is>
          <t>https://stockx.com/aime-leon-dore-uniform-hoodie-oatmeal</t>
        </is>
      </c>
      <c r="N105" s="11" t="inlineStr">
        <is>
          <t>StockX real data (collected June 2026)</t>
        </is>
      </c>
      <c r="O105" s="14">
        <f>IFERROR((G105/F105)^(1/MAX(2026-E105,0.5))-1,"")</f>
        <v/>
      </c>
      <c r="P105" s="15" t="inlineStr"/>
    </row>
    <row r="106" ht="20" customHeight="1">
      <c r="A106" s="10" t="inlineStr">
        <is>
          <t>🔵 Low Volume</t>
        </is>
      </c>
      <c r="B106" s="11" t="inlineStr">
        <is>
          <t>BAPE Shark Full Zip Hoodie Purple</t>
        </is>
      </c>
      <c r="C106" s="10" t="inlineStr">
        <is>
          <t>Streetwear</t>
        </is>
      </c>
      <c r="D106" s="10" t="inlineStr">
        <is>
          <t>BAPE</t>
        </is>
      </c>
      <c r="E106" s="10" t="n">
        <v>2018</v>
      </c>
      <c r="F106" s="12" t="n">
        <v>399</v>
      </c>
      <c r="G106" s="12" t="n">
        <v>399</v>
      </c>
      <c r="H106" s="12" t="n">
        <v>165</v>
      </c>
      <c r="I106" s="12" t="n">
        <v>665</v>
      </c>
      <c r="J106" s="10" t="n">
        <v>5</v>
      </c>
      <c r="K106" s="13" t="n">
        <v>22</v>
      </c>
      <c r="L106" s="10" t="n">
        <v>66</v>
      </c>
      <c r="M106" s="11" t="inlineStr">
        <is>
          <t>https://stockx.com/bape-shark-full-zip-hoodie-purple</t>
        </is>
      </c>
      <c r="N106" s="11" t="inlineStr">
        <is>
          <t>StockX real data (collected June 2026)</t>
        </is>
      </c>
      <c r="O106" s="14">
        <f>IFERROR((G106/F106)^(1/MAX(2026-E106,0.5))-1,"")</f>
        <v/>
      </c>
      <c r="P106" s="15" t="inlineStr"/>
    </row>
    <row r="107" ht="20" customHeight="1">
      <c r="A107" s="10" t="inlineStr">
        <is>
          <t>🔵 Low Volume</t>
        </is>
      </c>
      <c r="B107" s="11" t="inlineStr">
        <is>
          <t>Palace Tri-Ferg Hoodie Grey</t>
        </is>
      </c>
      <c r="C107" s="10" t="inlineStr">
        <is>
          <t>Streetwear</t>
        </is>
      </c>
      <c r="D107" s="10" t="inlineStr">
        <is>
          <t>Palace</t>
        </is>
      </c>
      <c r="E107" s="10" t="n">
        <v>2025</v>
      </c>
      <c r="F107" s="12" t="n">
        <v>168</v>
      </c>
      <c r="G107" s="12" t="n">
        <v>50</v>
      </c>
      <c r="H107" s="12" t="n">
        <v>50</v>
      </c>
      <c r="I107" s="12" t="n">
        <v>168</v>
      </c>
      <c r="J107" s="10" t="n">
        <v>1</v>
      </c>
      <c r="K107" s="13" t="n">
        <v>28</v>
      </c>
      <c r="L107" s="10" t="n">
        <v>58</v>
      </c>
      <c r="M107" s="11" t="inlineStr">
        <is>
          <t>https://stockx.com/palace-tri-ferg-hood-grey-marl</t>
        </is>
      </c>
      <c r="N107" s="11" t="inlineStr">
        <is>
          <t>StockX real data (collected June 2026)</t>
        </is>
      </c>
      <c r="O107" s="14">
        <f>IFERROR((G107/F107)^(1/MAX(2026-E107,0.5))-1,"")</f>
        <v/>
      </c>
      <c r="P107" s="15" t="inlineStr"/>
    </row>
    <row r="108" ht="20" customHeight="1">
      <c r="A108" s="16" t="inlineStr">
        <is>
          <t>⚠️ Needs Data</t>
        </is>
      </c>
      <c r="B108" s="17" t="inlineStr">
        <is>
          <t>Chrome Hearts Dagger Zip Hoodie Black</t>
        </is>
      </c>
      <c r="C108" s="16" t="inlineStr">
        <is>
          <t>Luxury Streetwear</t>
        </is>
      </c>
      <c r="D108" s="16" t="inlineStr">
        <is>
          <t>Chrome Hearts</t>
        </is>
      </c>
      <c r="E108" s="16" t="n">
        <v>2020</v>
      </c>
      <c r="F108" s="18" t="n">
        <v>1200</v>
      </c>
      <c r="G108" s="18" t="n">
        <v>1900</v>
      </c>
      <c r="H108" s="18" t="n">
        <v>1300</v>
      </c>
      <c r="I108" s="18" t="n">
        <v>2900</v>
      </c>
      <c r="J108" s="16" t="n">
        <v>5</v>
      </c>
      <c r="K108" s="19" t="n">
        <v>30</v>
      </c>
      <c r="L108" s="16" t="n">
        <v>84</v>
      </c>
      <c r="M108" s="17" t="inlineStr"/>
      <c r="N108" s="17" t="inlineStr">
        <is>
          <t>Starter seed estimate; replace with sold data</t>
        </is>
      </c>
      <c r="O108" s="20">
        <f>IFERROR((G108/F108)^(1/MAX(2026-E108,0.5))-1,"")</f>
        <v/>
      </c>
      <c r="P108" s="21" t="inlineStr"/>
    </row>
    <row r="109" ht="20" customHeight="1">
      <c r="A109" s="16" t="inlineStr">
        <is>
          <t>⚠️ Needs Data</t>
        </is>
      </c>
      <c r="B109" s="17" t="inlineStr">
        <is>
          <t>Chrome Hearts Hoodie Horseshoe Black</t>
        </is>
      </c>
      <c r="C109" s="16" t="inlineStr">
        <is>
          <t>Luxury Streetwear</t>
        </is>
      </c>
      <c r="D109" s="16" t="inlineStr">
        <is>
          <t>Chrome Hearts</t>
        </is>
      </c>
      <c r="E109" s="16" t="n">
        <v>2020</v>
      </c>
      <c r="F109" s="18" t="n">
        <v>850</v>
      </c>
      <c r="G109" s="18" t="n">
        <v>1200</v>
      </c>
      <c r="H109" s="18" t="n">
        <v>800</v>
      </c>
      <c r="I109" s="18" t="n">
        <v>1800</v>
      </c>
      <c r="J109" s="16" t="n">
        <v>8</v>
      </c>
      <c r="K109" s="19" t="n">
        <v>22</v>
      </c>
      <c r="L109" s="16" t="n">
        <v>75</v>
      </c>
      <c r="M109" s="17" t="inlineStr"/>
      <c r="N109" s="17" t="inlineStr">
        <is>
          <t>Starter seed estimate; replace with sold data</t>
        </is>
      </c>
      <c r="O109" s="20">
        <f>IFERROR((G109/F109)^(1/MAX(2026-E109,0.5))-1,"")</f>
        <v/>
      </c>
      <c r="P109" s="21" t="inlineStr"/>
    </row>
  </sheetData>
  <autoFilter ref="A3:P109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28" customHeight="1">
      <c r="A1" s="22" t="inlineStr">
        <is>
          <t>DATASET PROGRESS</t>
        </is>
      </c>
    </row>
    <row r="2" ht="20" customHeight="1">
      <c r="A2" s="23" t="inlineStr">
        <is>
          <t>Total items tracked</t>
        </is>
      </c>
      <c r="B2" s="24" t="n">
        <v>106</v>
      </c>
    </row>
    <row r="3" ht="20" customHeight="1">
      <c r="A3" s="25" t="inlineStr">
        <is>
          <t>✅ Verified (paper-ready)</t>
        </is>
      </c>
      <c r="B3" s="24" t="n">
        <v>90</v>
      </c>
    </row>
    <row r="4" ht="20" customHeight="1">
      <c r="A4" s="25" t="inlineStr">
        <is>
          <t>🔵 Low volume (real price, few sales)</t>
        </is>
      </c>
      <c r="B4" s="24" t="n">
        <v>14</v>
      </c>
    </row>
    <row r="5" ht="20" customHeight="1">
      <c r="A5" s="25" t="inlineStr">
        <is>
          <t>⚠️ Still need data</t>
        </is>
      </c>
      <c r="B5" s="24" t="n">
        <v>2</v>
      </c>
    </row>
    <row r="6" ht="20" customHeight="1">
      <c r="A6" s="25" t="inlineStr"/>
      <c r="B6" s="24" t="inlineStr"/>
    </row>
    <row r="7" ht="20" customHeight="1">
      <c r="A7" s="25" t="inlineStr">
        <is>
          <t>% Complete</t>
        </is>
      </c>
      <c r="B7" s="24">
        <f>90+14&amp;" / 106"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26" t="inlineStr">
        <is>
          <t>HOW TO UPDATE THIS SPREADSHEET</t>
        </is>
      </c>
    </row>
    <row r="2" ht="8" customHeight="1">
      <c r="A2" s="27" t="inlineStr"/>
    </row>
    <row r="3" ht="20" customHeight="1">
      <c r="A3" s="28" t="inlineStr">
        <is>
          <t>COLOUR KEY</t>
        </is>
      </c>
    </row>
    <row r="4" ht="20" customHeight="1">
      <c r="A4" s="29" t="inlineStr">
        <is>
          <t>✅ Green  — Already verified with real StockX transaction data. These are research-ready.</t>
        </is>
      </c>
    </row>
    <row r="5" ht="20" customHeight="1">
      <c r="A5" s="30" t="inlineStr">
        <is>
          <t>🔵 Blue   — Real price exists but very few sales. Confirm the URL still loads and price is current.</t>
        </is>
      </c>
    </row>
    <row r="6" ht="20" customHeight="1">
      <c r="A6" s="31" t="inlineStr">
        <is>
          <t>⚠️ Yellow — Only 2 rows left. Grab sold data from Grailed or eBay for the Chrome Hearts dagger/horseshoe.</t>
        </is>
      </c>
    </row>
    <row r="7" ht="8" customHeight="1">
      <c r="A7" s="27" t="inlineStr"/>
    </row>
    <row r="8" ht="20" customHeight="1">
      <c r="A8" s="28" t="inlineStr">
        <is>
          <t>WHAT TO FILL IN FOR EACH ITEM (columns G–K)</t>
        </is>
      </c>
    </row>
    <row r="9" ht="20" customHeight="1">
      <c r="A9" s="27" t="inlineStr">
        <is>
          <t>G — Last Sale ($)    →  The most recent sold price shown on the StockX product page (big number at top)</t>
        </is>
      </c>
    </row>
    <row r="10" ht="20" customHeight="1">
      <c r="A10" s="27" t="inlineStr">
        <is>
          <t>H — Price Low ($)    →  Lowest sale price in the 3-month or 12-month chart</t>
        </is>
      </c>
    </row>
    <row r="11" ht="20" customHeight="1">
      <c r="A11" s="27" t="inlineStr">
        <is>
          <t>I — Price High ($)   →  Highest sale price in the 3-month or 12-month chart</t>
        </is>
      </c>
    </row>
    <row r="12" ht="20" customHeight="1">
      <c r="A12" s="27" t="inlineStr">
        <is>
          <t>J — Sales Volume     →  Number of sales shown ('# Sales' count — use 3M if visible)</t>
        </is>
      </c>
    </row>
    <row r="13" ht="20" customHeight="1">
      <c r="A13" s="27" t="inlineStr">
        <is>
          <t>K — Volatility %     →  Copy directly from StockX if shown, or estimate: ((High - Low) / Last Sale) × 32</t>
        </is>
      </c>
    </row>
    <row r="14" ht="8" customHeight="1">
      <c r="A14" s="27" t="inlineStr"/>
    </row>
    <row r="15" ht="20" customHeight="1">
      <c r="A15" s="28" t="inlineStr">
        <is>
          <t>COLUMN O — ANNUALIZED RETURN (auto-calculated)</t>
        </is>
      </c>
    </row>
    <row r="16" ht="20" customHeight="1">
      <c r="A16" s="27" t="inlineStr">
        <is>
          <t>This is calculated automatically from your data using: (Last Sale / Retail)^(1 / years held) - 1</t>
        </is>
      </c>
    </row>
    <row r="17" ht="20" customHeight="1">
      <c r="A17" s="27" t="inlineStr">
        <is>
          <t>It updates instantly when you change G or F. This is what gets compared against S&amp;P 500.</t>
        </is>
      </c>
    </row>
    <row r="18" ht="8" customHeight="1">
      <c r="A18" s="27" t="inlineStr"/>
    </row>
    <row r="19" ht="20" customHeight="1">
      <c r="A19" s="28" t="inlineStr">
        <is>
          <t>AFTER UPDATING</t>
        </is>
      </c>
    </row>
    <row r="20" ht="20" customHeight="1">
      <c r="A20" s="27" t="inlineStr">
        <is>
          <t>1. Change the Status cell (col A) from '⚠️ Needs Data' to '✅ Verified' once you have real numbers.</t>
        </is>
      </c>
    </row>
    <row r="21" ht="20" customHeight="1">
      <c r="A21" s="27" t="inlineStr">
        <is>
          <t>2. Mark col P (✓ Done?) as YES.</t>
        </is>
      </c>
    </row>
    <row r="22" ht="20" customHeight="1">
      <c r="A22" s="27" t="inlineStr">
        <is>
          <t>3. Save this file, then copy the updated values back into hype_asset_market_seed.csv.</t>
        </is>
      </c>
    </row>
    <row r="23" ht="20" customHeight="1">
      <c r="A23" s="27" t="inlineStr">
        <is>
          <t>4. Re-run the Streamlit app — all charts update automatically.</t>
        </is>
      </c>
    </row>
    <row r="24" ht="8" customHeight="1">
      <c r="A24" s="27" t="inlineStr"/>
    </row>
    <row r="25" ht="20" customHeight="1">
      <c r="A25" s="28" t="inlineStr">
        <is>
          <t>REMAINING ITEMS NEEDING DATA (just 2 left!)</t>
        </is>
      </c>
    </row>
    <row r="26" ht="20" customHeight="1">
      <c r="A26" s="31" t="inlineStr">
        <is>
          <t>• Chrome Hearts Horseshoe Hoodie Black  →  Search 'Chrome Hearts horseshoe zip hoodie' on Grailed, grab recent sold prices</t>
        </is>
      </c>
    </row>
    <row r="27" ht="20" customHeight="1">
      <c r="A27" s="31" t="inlineStr">
        <is>
          <t>• Chrome Hearts Dagger Zip Hoodie Black →  Search 'Chrome Hearts dagger zip hoodie black' on Grailed or eBay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2026-06-25T00:09:12Z</dcterms:created>
  <dcterms:modified xmlns:dcterms="http://purl.org/dc/terms/" xmlns:xsi="http://www.w3.org/2001/XMLSchema-instance" xsi:type="dcterms:W3CDTF">2026-06-25T00:09:12Z</dcterms:modified>
</cp:coreProperties>
</file>